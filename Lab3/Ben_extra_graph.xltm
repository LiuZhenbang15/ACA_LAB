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drawings/drawing7.xml" ContentType="application/vnd.openxmlformats-officedocument.drawingml.chartshape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/>
  <workbookPr showInkAnnotation="0"/>
  <bookViews>
    <workbookView xWindow="0" yWindow="465" windowWidth="20730" windowHeight="11760" tabRatio="500"/>
  </bookViews>
  <sheets>
    <sheet name="Sheet1" sheetId="1" r:id="rId1"/>
    <sheet name="Sheet2" sheetId="2" r:id="rId2"/>
    <sheet name="Sheet3" sheetId="3" r:id="rId3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3" i="3" l="1"/>
  <c r="R3" i="3"/>
  <c r="S3" i="3"/>
  <c r="T3" i="3"/>
  <c r="Q4" i="3"/>
  <c r="R4" i="3"/>
  <c r="S4" i="3"/>
  <c r="T4" i="3"/>
  <c r="Q5" i="3"/>
  <c r="R5" i="3"/>
  <c r="S5" i="3"/>
  <c r="T5" i="3"/>
  <c r="Q6" i="3"/>
  <c r="R6" i="3"/>
  <c r="S6" i="3"/>
  <c r="T6" i="3"/>
  <c r="Q7" i="3"/>
  <c r="R7" i="3"/>
  <c r="S7" i="3"/>
  <c r="T7" i="3"/>
  <c r="P4" i="3"/>
  <c r="P5" i="3"/>
  <c r="P6" i="3"/>
  <c r="P7" i="3"/>
  <c r="P3" i="3"/>
  <c r="M17" i="3"/>
  <c r="L17" i="3"/>
  <c r="K17" i="3"/>
  <c r="J17" i="3"/>
  <c r="I17" i="3"/>
  <c r="M16" i="3"/>
  <c r="L16" i="3"/>
  <c r="K16" i="3"/>
  <c r="J16" i="3"/>
  <c r="I16" i="3"/>
  <c r="M15" i="3"/>
  <c r="L15" i="3"/>
  <c r="K15" i="3"/>
  <c r="J15" i="3"/>
  <c r="I15" i="3"/>
  <c r="M14" i="3"/>
  <c r="L14" i="3"/>
  <c r="K14" i="3"/>
  <c r="J14" i="3"/>
  <c r="I14" i="3"/>
  <c r="M13" i="3"/>
  <c r="L13" i="3"/>
  <c r="K13" i="3"/>
  <c r="J13" i="3"/>
  <c r="I13" i="3"/>
  <c r="J3" i="3"/>
  <c r="K3" i="3"/>
  <c r="L3" i="3"/>
  <c r="M3" i="3"/>
  <c r="J4" i="3"/>
  <c r="K4" i="3"/>
  <c r="L4" i="3"/>
  <c r="M4" i="3"/>
  <c r="J5" i="3"/>
  <c r="K5" i="3"/>
  <c r="L5" i="3"/>
  <c r="M5" i="3"/>
  <c r="J6" i="3"/>
  <c r="K6" i="3"/>
  <c r="L6" i="3"/>
  <c r="M6" i="3"/>
  <c r="J7" i="3"/>
  <c r="K7" i="3"/>
  <c r="L7" i="3"/>
  <c r="M7" i="3"/>
  <c r="I4" i="3"/>
  <c r="I5" i="3"/>
  <c r="I6" i="3"/>
  <c r="I7" i="3"/>
  <c r="I3" i="3"/>
  <c r="S3" i="2"/>
  <c r="T3" i="2"/>
  <c r="U3" i="2"/>
  <c r="V3" i="2"/>
  <c r="S4" i="2"/>
  <c r="T4" i="2"/>
  <c r="U4" i="2"/>
  <c r="V4" i="2"/>
  <c r="S5" i="2"/>
  <c r="T5" i="2"/>
  <c r="U5" i="2"/>
  <c r="V5" i="2"/>
  <c r="S6" i="2"/>
  <c r="T6" i="2"/>
  <c r="U6" i="2"/>
  <c r="V6" i="2"/>
  <c r="S7" i="2"/>
  <c r="T7" i="2"/>
  <c r="U7" i="2"/>
  <c r="V7" i="2"/>
  <c r="R4" i="2"/>
  <c r="R5" i="2"/>
  <c r="R6" i="2"/>
  <c r="R7" i="2"/>
  <c r="R3" i="2"/>
  <c r="K11" i="2"/>
  <c r="L11" i="2"/>
  <c r="M11" i="2"/>
  <c r="N11" i="2"/>
  <c r="K12" i="2"/>
  <c r="L12" i="2"/>
  <c r="M12" i="2"/>
  <c r="N12" i="2"/>
  <c r="K13" i="2"/>
  <c r="L13" i="2"/>
  <c r="M13" i="2"/>
  <c r="N13" i="2"/>
  <c r="K14" i="2"/>
  <c r="L14" i="2"/>
  <c r="M14" i="2"/>
  <c r="N14" i="2"/>
  <c r="K15" i="2"/>
  <c r="L15" i="2"/>
  <c r="M15" i="2"/>
  <c r="N15" i="2"/>
  <c r="J12" i="2"/>
  <c r="J13" i="2"/>
  <c r="J14" i="2"/>
  <c r="J15" i="2"/>
  <c r="J11" i="2"/>
  <c r="J3" i="2"/>
  <c r="K3" i="2"/>
  <c r="L3" i="2"/>
  <c r="M3" i="2"/>
  <c r="N3" i="2"/>
  <c r="K4" i="2"/>
  <c r="L4" i="2"/>
  <c r="M4" i="2"/>
  <c r="N4" i="2"/>
  <c r="K5" i="2"/>
  <c r="L5" i="2"/>
  <c r="M5" i="2"/>
  <c r="N5" i="2"/>
  <c r="K6" i="2"/>
  <c r="L6" i="2"/>
  <c r="M6" i="2"/>
  <c r="N6" i="2"/>
  <c r="K7" i="2"/>
  <c r="L7" i="2"/>
  <c r="M7" i="2"/>
  <c r="N7" i="2"/>
  <c r="J4" i="2"/>
  <c r="J5" i="2"/>
  <c r="J6" i="2"/>
  <c r="J7" i="2"/>
  <c r="N3" i="1"/>
  <c r="N4" i="1"/>
  <c r="N5" i="1"/>
  <c r="N6" i="1"/>
  <c r="N2" i="1"/>
  <c r="O3" i="1"/>
  <c r="P3" i="1"/>
  <c r="Q3" i="1"/>
  <c r="R3" i="1"/>
  <c r="O4" i="1"/>
  <c r="P4" i="1"/>
  <c r="Q4" i="1"/>
  <c r="R4" i="1"/>
  <c r="O5" i="1"/>
  <c r="P5" i="1"/>
  <c r="Q5" i="1"/>
  <c r="R5" i="1"/>
  <c r="O6" i="1"/>
  <c r="P6" i="1"/>
  <c r="Q6" i="1"/>
  <c r="R6" i="1"/>
  <c r="P2" i="1"/>
  <c r="Q2" i="1"/>
  <c r="R2" i="1"/>
  <c r="O2" i="1"/>
  <c r="I2" i="1"/>
  <c r="J2" i="1"/>
  <c r="K2" i="1"/>
  <c r="I3" i="1"/>
  <c r="J3" i="1"/>
  <c r="K3" i="1"/>
  <c r="I4" i="1"/>
  <c r="J4" i="1"/>
  <c r="K4" i="1"/>
  <c r="I5" i="1"/>
  <c r="J5" i="1"/>
  <c r="K5" i="1"/>
  <c r="I6" i="1"/>
  <c r="J6" i="1"/>
  <c r="K6" i="1"/>
  <c r="H3" i="1"/>
  <c r="H4" i="1"/>
  <c r="H5" i="1"/>
  <c r="H6" i="1"/>
  <c r="H2" i="1"/>
</calcChain>
</file>

<file path=xl/sharedStrings.xml><?xml version="1.0" encoding="utf-8"?>
<sst xmlns="http://schemas.openxmlformats.org/spreadsheetml/2006/main" count="107" uniqueCount="22">
  <si>
    <t xml:space="preserve"> </t>
  </si>
  <si>
    <t>Fibonacci</t>
  </si>
  <si>
    <t>Matmul</t>
  </si>
  <si>
    <t>Pi</t>
  </si>
  <si>
    <t>Whetstone</t>
  </si>
  <si>
    <t>Memcopy</t>
  </si>
  <si>
    <t>Not taken</t>
  </si>
  <si>
    <t>Bimod</t>
  </si>
  <si>
    <t>2lev</t>
  </si>
  <si>
    <t>Comb</t>
  </si>
  <si>
    <t>Perfect</t>
  </si>
  <si>
    <t>in-order execution</t>
  </si>
  <si>
    <t>Fibonnaci</t>
  </si>
  <si>
    <t>default amount of resources</t>
  </si>
  <si>
    <t>out-of-order-execution</t>
  </si>
  <si>
    <t>Default amount of resources</t>
  </si>
  <si>
    <t>(16,8)</t>
  </si>
  <si>
    <t>(32,8)</t>
  </si>
  <si>
    <t>(32,16)</t>
  </si>
  <si>
    <t>(64,16)</t>
  </si>
  <si>
    <t>(64,32)</t>
  </si>
  <si>
    <t>Doubled amount of resources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</si>
</sst>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</a:t>
            </a:r>
            <a:r>
              <a:rPr lang="en-US" baseline="0"/>
              <a:t> of the branch prediction modes offered by SimpleScalar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492932359358701E-2"/>
          <c:y val="0.11503850289638901"/>
          <c:w val="0.85814562185750898"/>
          <c:h val="0.767940795375262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Not taken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Sheet1!$A$2:$A$6</c:f>
              <c:strCache>
                <c:ptCount val="5"/>
                <c:pt idx="0">
                  <c:v>Fibonacci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0.44669999999999999</c:v>
                </c:pt>
                <c:pt idx="1">
                  <c:v>0.622</c:v>
                </c:pt>
                <c:pt idx="2">
                  <c:v>0.49780000000000002</c:v>
                </c:pt>
                <c:pt idx="3">
                  <c:v>0.4456</c:v>
                </c:pt>
                <c:pt idx="4">
                  <c:v>0.45290000000000002</c:v>
                </c:pt>
              </c:numCache>
            </c:numRef>
          </c:val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Bimod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Sheet1!$A$2:$A$6</c:f>
              <c:strCache>
                <c:ptCount val="5"/>
                <c:pt idx="0">
                  <c:v>Fibonacci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0.60940000000000005</c:v>
                </c:pt>
                <c:pt idx="1">
                  <c:v>0.72389999999999999</c:v>
                </c:pt>
                <c:pt idx="2">
                  <c:v>0.55059999999999998</c:v>
                </c:pt>
                <c:pt idx="3">
                  <c:v>0.58730000000000004</c:v>
                </c:pt>
                <c:pt idx="4">
                  <c:v>0.50849999999999995</c:v>
                </c:pt>
              </c:numCache>
            </c:numRef>
          </c:val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2lev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Sheet1!$A$2:$A$6</c:f>
              <c:strCache>
                <c:ptCount val="5"/>
                <c:pt idx="0">
                  <c:v>Fibonacci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Sheet1!$D$2:$D$6</c:f>
              <c:numCache>
                <c:formatCode>General</c:formatCode>
                <c:ptCount val="5"/>
                <c:pt idx="0">
                  <c:v>0.65290000000000004</c:v>
                </c:pt>
                <c:pt idx="1">
                  <c:v>0.72389999999999999</c:v>
                </c:pt>
                <c:pt idx="2">
                  <c:v>0.55049999999999999</c:v>
                </c:pt>
                <c:pt idx="3">
                  <c:v>0.58919999999999995</c:v>
                </c:pt>
                <c:pt idx="4">
                  <c:v>0.50849999999999995</c:v>
                </c:pt>
              </c:numCache>
            </c:numRef>
          </c:val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Comb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Sheet1!$A$2:$A$6</c:f>
              <c:strCache>
                <c:ptCount val="5"/>
                <c:pt idx="0">
                  <c:v>Fibonacci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Sheet1!$E$2:$E$6</c:f>
              <c:numCache>
                <c:formatCode>General</c:formatCode>
                <c:ptCount val="5"/>
                <c:pt idx="0">
                  <c:v>0.65039999999999998</c:v>
                </c:pt>
                <c:pt idx="1">
                  <c:v>0.72389999999999999</c:v>
                </c:pt>
                <c:pt idx="2">
                  <c:v>0.55069999999999997</c:v>
                </c:pt>
                <c:pt idx="3">
                  <c:v>0.5927</c:v>
                </c:pt>
                <c:pt idx="4">
                  <c:v>0.50849999999999995</c:v>
                </c:pt>
              </c:numCache>
            </c:numRef>
          </c:val>
        </c:ser>
        <c:ser>
          <c:idx val="4"/>
          <c:order val="4"/>
          <c:tx>
            <c:strRef>
              <c:f>Sheet1!$F$1</c:f>
              <c:strCache>
                <c:ptCount val="1"/>
                <c:pt idx="0">
                  <c:v>Perfect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Sheet1!$A$2:$A$6</c:f>
              <c:strCache>
                <c:ptCount val="5"/>
                <c:pt idx="0">
                  <c:v>Fibonacci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Sheet1!$F$2:$F$6</c:f>
              <c:numCache>
                <c:formatCode>General</c:formatCode>
                <c:ptCount val="5"/>
                <c:pt idx="0">
                  <c:v>0.70020000000000004</c:v>
                </c:pt>
                <c:pt idx="1">
                  <c:v>0.7258</c:v>
                </c:pt>
                <c:pt idx="2">
                  <c:v>0.55510000000000004</c:v>
                </c:pt>
                <c:pt idx="3">
                  <c:v>0.60740000000000005</c:v>
                </c:pt>
                <c:pt idx="4">
                  <c:v>0.50860000000000005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476096"/>
        <c:axId val="173477888"/>
      </c:barChart>
      <c:catAx>
        <c:axId val="173476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77888"/>
        <c:crosses val="autoZero"/>
        <c:auto val="1"/>
        <c:lblAlgn val="ctr"/>
        <c:lblOffset val="100"/>
        <c:noMultiLvlLbl val="0"/>
      </c:catAx>
      <c:valAx>
        <c:axId val="17347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76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Sheet1!$N$1</c:f>
              <c:strCache>
                <c:ptCount val="1"/>
                <c:pt idx="0">
                  <c:v>Not taken</c:v>
                </c:pt>
              </c:strCache>
            </c:strRef>
          </c:tx>
          <c:invertIfNegative val="0"/>
          <c:cat>
            <c:strRef>
              <c:f>Sheet1!$M$2:$M$6</c:f>
              <c:strCache>
                <c:ptCount val="5"/>
                <c:pt idx="0">
                  <c:v>Fibonacci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Sheet1!$N$2:$N$6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strRef>
              <c:f>Sheet1!$O$1</c:f>
              <c:strCache>
                <c:ptCount val="1"/>
                <c:pt idx="0">
                  <c:v>Bimod</c:v>
                </c:pt>
              </c:strCache>
            </c:strRef>
          </c:tx>
          <c:invertIfNegative val="0"/>
          <c:cat>
            <c:strRef>
              <c:f>Sheet1!$M$2:$M$6</c:f>
              <c:strCache>
                <c:ptCount val="5"/>
                <c:pt idx="0">
                  <c:v>Fibonacci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Sheet1!$O$2:$O$6</c:f>
              <c:numCache>
                <c:formatCode>General</c:formatCode>
                <c:ptCount val="5"/>
                <c:pt idx="0">
                  <c:v>36.422655025744348</c:v>
                </c:pt>
                <c:pt idx="1">
                  <c:v>16.382636655948545</c:v>
                </c:pt>
                <c:pt idx="2">
                  <c:v>10.606669345118519</c:v>
                </c:pt>
                <c:pt idx="3">
                  <c:v>31.799820466786372</c:v>
                </c:pt>
                <c:pt idx="4">
                  <c:v>12.276440715389697</c:v>
                </c:pt>
              </c:numCache>
            </c:numRef>
          </c:val>
        </c:ser>
        <c:ser>
          <c:idx val="2"/>
          <c:order val="2"/>
          <c:tx>
            <c:strRef>
              <c:f>Sheet1!$P$1</c:f>
              <c:strCache>
                <c:ptCount val="1"/>
                <c:pt idx="0">
                  <c:v>2lev</c:v>
                </c:pt>
              </c:strCache>
            </c:strRef>
          </c:tx>
          <c:invertIfNegative val="0"/>
          <c:cat>
            <c:strRef>
              <c:f>Sheet1!$M$2:$M$6</c:f>
              <c:strCache>
                <c:ptCount val="5"/>
                <c:pt idx="0">
                  <c:v>Fibonacci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Sheet1!$P$2:$P$6</c:f>
              <c:numCache>
                <c:formatCode>General</c:formatCode>
                <c:ptCount val="5"/>
                <c:pt idx="0">
                  <c:v>46.160734273561701</c:v>
                </c:pt>
                <c:pt idx="1">
                  <c:v>16.382636655948545</c:v>
                </c:pt>
                <c:pt idx="2">
                  <c:v>10.5865809562073</c:v>
                </c:pt>
                <c:pt idx="3">
                  <c:v>32.226211849192111</c:v>
                </c:pt>
                <c:pt idx="4">
                  <c:v>12.276440715389697</c:v>
                </c:pt>
              </c:numCache>
            </c:numRef>
          </c:val>
        </c:ser>
        <c:ser>
          <c:idx val="3"/>
          <c:order val="3"/>
          <c:tx>
            <c:strRef>
              <c:f>Sheet1!$Q$1</c:f>
              <c:strCache>
                <c:ptCount val="1"/>
                <c:pt idx="0">
                  <c:v>Comb</c:v>
                </c:pt>
              </c:strCache>
            </c:strRef>
          </c:tx>
          <c:invertIfNegative val="0"/>
          <c:cat>
            <c:strRef>
              <c:f>Sheet1!$M$2:$M$6</c:f>
              <c:strCache>
                <c:ptCount val="5"/>
                <c:pt idx="0">
                  <c:v>Fibonacci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Sheet1!$Q$2:$Q$6</c:f>
              <c:numCache>
                <c:formatCode>General</c:formatCode>
                <c:ptCount val="5"/>
                <c:pt idx="0">
                  <c:v>45.601074546675619</c:v>
                </c:pt>
                <c:pt idx="1">
                  <c:v>16.382636655948545</c:v>
                </c:pt>
                <c:pt idx="2">
                  <c:v>10.626757734029724</c:v>
                </c:pt>
                <c:pt idx="3">
                  <c:v>33.011669658886888</c:v>
                </c:pt>
                <c:pt idx="4">
                  <c:v>12.276440715389697</c:v>
                </c:pt>
              </c:numCache>
            </c:numRef>
          </c:val>
        </c:ser>
        <c:ser>
          <c:idx val="4"/>
          <c:order val="4"/>
          <c:tx>
            <c:strRef>
              <c:f>Sheet1!$R$1</c:f>
              <c:strCache>
                <c:ptCount val="1"/>
                <c:pt idx="0">
                  <c:v>Perfect</c:v>
                </c:pt>
              </c:strCache>
            </c:strRef>
          </c:tx>
          <c:invertIfNegative val="0"/>
          <c:cat>
            <c:strRef>
              <c:f>Sheet1!$M$2:$M$6</c:f>
              <c:strCache>
                <c:ptCount val="5"/>
                <c:pt idx="0">
                  <c:v>Fibonacci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Sheet1!$R$2:$R$6</c:f>
              <c:numCache>
                <c:formatCode>General</c:formatCode>
                <c:ptCount val="5"/>
                <c:pt idx="0">
                  <c:v>56.749496306245817</c:v>
                </c:pt>
                <c:pt idx="1">
                  <c:v>16.688102893890672</c:v>
                </c:pt>
                <c:pt idx="2">
                  <c:v>11.510646846122953</c:v>
                </c:pt>
                <c:pt idx="3">
                  <c:v>36.310592459605033</c:v>
                </c:pt>
                <c:pt idx="4">
                  <c:v>12.298520644733941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028800"/>
        <c:axId val="80030336"/>
      </c:barChart>
      <c:catAx>
        <c:axId val="80028800"/>
        <c:scaling>
          <c:orientation val="minMax"/>
        </c:scaling>
        <c:delete val="0"/>
        <c:axPos val="b"/>
        <c:majorTickMark val="out"/>
        <c:minorTickMark val="none"/>
        <c:tickLblPos val="nextTo"/>
        <c:crossAx val="80030336"/>
        <c:crosses val="autoZero"/>
        <c:auto val="1"/>
        <c:lblAlgn val="ctr"/>
        <c:lblOffset val="100"/>
        <c:noMultiLvlLbl val="0"/>
      </c:catAx>
      <c:valAx>
        <c:axId val="80030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00288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In-order</a:t>
            </a:r>
            <a:r>
              <a:rPr lang="en-US" baseline="0"/>
              <a:t> execution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9968763260879793E-2"/>
          <c:y val="0.10170792079207901"/>
          <c:w val="0.91057015889480897"/>
          <c:h val="0.773110431121851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Sheet2!$B$2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Sheet2!$A$3:$A$7</c:f>
              <c:strCache>
                <c:ptCount val="5"/>
                <c:pt idx="0">
                  <c:v>Fibonnaci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Sheet2!$B$3:$B$7</c:f>
              <c:numCache>
                <c:formatCode>General</c:formatCode>
                <c:ptCount val="5"/>
                <c:pt idx="0">
                  <c:v>0.65290000000000004</c:v>
                </c:pt>
                <c:pt idx="1">
                  <c:v>0.72389999999999999</c:v>
                </c:pt>
                <c:pt idx="2">
                  <c:v>0.55049999999999999</c:v>
                </c:pt>
                <c:pt idx="3">
                  <c:v>0.58919999999999995</c:v>
                </c:pt>
                <c:pt idx="4">
                  <c:v>0.50849999999999995</c:v>
                </c:pt>
              </c:numCache>
            </c:numRef>
          </c:val>
        </c:ser>
        <c:ser>
          <c:idx val="1"/>
          <c:order val="1"/>
          <c:tx>
            <c:strRef>
              <c:f>Sheet2!$C$2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Sheet2!$A$3:$A$7</c:f>
              <c:strCache>
                <c:ptCount val="5"/>
                <c:pt idx="0">
                  <c:v>Fibonnaci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Sheet2!$C$3:$C$7</c:f>
              <c:numCache>
                <c:formatCode>General</c:formatCode>
                <c:ptCount val="5"/>
                <c:pt idx="0">
                  <c:v>0.7137</c:v>
                </c:pt>
                <c:pt idx="1">
                  <c:v>0.73650000000000004</c:v>
                </c:pt>
                <c:pt idx="2">
                  <c:v>0.56989999999999996</c:v>
                </c:pt>
                <c:pt idx="3">
                  <c:v>0.71630000000000005</c:v>
                </c:pt>
                <c:pt idx="4">
                  <c:v>0.53480000000000005</c:v>
                </c:pt>
              </c:numCache>
            </c:numRef>
          </c:val>
        </c:ser>
        <c:ser>
          <c:idx val="2"/>
          <c:order val="2"/>
          <c:tx>
            <c:strRef>
              <c:f>Sheet2!$D$2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Sheet2!$A$3:$A$7</c:f>
              <c:strCache>
                <c:ptCount val="5"/>
                <c:pt idx="0">
                  <c:v>Fibonnaci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Sheet2!$D$3:$D$7</c:f>
              <c:numCache>
                <c:formatCode>General</c:formatCode>
                <c:ptCount val="5"/>
                <c:pt idx="0">
                  <c:v>0.74670000000000003</c:v>
                </c:pt>
                <c:pt idx="1">
                  <c:v>0.73680000000000001</c:v>
                </c:pt>
                <c:pt idx="2">
                  <c:v>0.57469999999999999</c:v>
                </c:pt>
                <c:pt idx="3">
                  <c:v>0.73529999999999995</c:v>
                </c:pt>
                <c:pt idx="4">
                  <c:v>0.56369999999999998</c:v>
                </c:pt>
              </c:numCache>
            </c:numRef>
          </c:val>
        </c:ser>
        <c:ser>
          <c:idx val="3"/>
          <c:order val="3"/>
          <c:tx>
            <c:strRef>
              <c:f>Sheet2!$E$2</c:f>
              <c:strCache>
                <c:ptCount val="1"/>
                <c:pt idx="0">
                  <c:v>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Sheet2!$A$3:$A$7</c:f>
              <c:strCache>
                <c:ptCount val="5"/>
                <c:pt idx="0">
                  <c:v>Fibonnaci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Sheet2!$E$3:$E$7</c:f>
              <c:numCache>
                <c:formatCode>General</c:formatCode>
                <c:ptCount val="5"/>
                <c:pt idx="0">
                  <c:v>0.74680000000000002</c:v>
                </c:pt>
                <c:pt idx="1">
                  <c:v>0.7369</c:v>
                </c:pt>
                <c:pt idx="2">
                  <c:v>0.57540000000000002</c:v>
                </c:pt>
                <c:pt idx="3">
                  <c:v>0.73670000000000002</c:v>
                </c:pt>
                <c:pt idx="4">
                  <c:v>0.56369999999999998</c:v>
                </c:pt>
              </c:numCache>
            </c:numRef>
          </c:val>
        </c:ser>
        <c:ser>
          <c:idx val="4"/>
          <c:order val="4"/>
          <c:tx>
            <c:strRef>
              <c:f>Sheet2!$F$2</c:f>
              <c:strCache>
                <c:ptCount val="1"/>
                <c:pt idx="0">
                  <c:v>default amount of resources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Sheet2!$A$3:$A$7</c:f>
              <c:strCache>
                <c:ptCount val="5"/>
                <c:pt idx="0">
                  <c:v>Fibonnaci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Sheet2!$F$3:$F$7</c:f>
              <c:numCache>
                <c:formatCode>General</c:formatCode>
                <c:ptCount val="5"/>
                <c:pt idx="0">
                  <c:v>0.74680000000000002</c:v>
                </c:pt>
                <c:pt idx="1">
                  <c:v>0.7369</c:v>
                </c:pt>
                <c:pt idx="2">
                  <c:v>0.57530000000000003</c:v>
                </c:pt>
                <c:pt idx="3">
                  <c:v>0.7127</c:v>
                </c:pt>
                <c:pt idx="4">
                  <c:v>0.56369999999999998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638400"/>
        <c:axId val="17363993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Sheet2!$G$2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Sheet2!$A$3:$A$7</c15:sqref>
                        </c15:formulaRef>
                      </c:ext>
                    </c:extLst>
                    <c:strCache>
                      <c:ptCount val="5"/>
                      <c:pt idx="0">
                        <c:v>Fibonnaci</c:v>
                      </c:pt>
                      <c:pt idx="1">
                        <c:v>Matmul</c:v>
                      </c:pt>
                      <c:pt idx="2">
                        <c:v>Pi</c:v>
                      </c:pt>
                      <c:pt idx="3">
                        <c:v>Whetstone</c:v>
                      </c:pt>
                      <c:pt idx="4">
                        <c:v>Memcopy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Sheet2!$G$3:$G$7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</c15:ser>
            </c15:filteredBarSeries>
          </c:ext>
        </c:extLst>
      </c:barChart>
      <c:catAx>
        <c:axId val="17363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39936"/>
        <c:crosses val="autoZero"/>
        <c:auto val="1"/>
        <c:lblAlgn val="ctr"/>
        <c:lblOffset val="100"/>
        <c:noMultiLvlLbl val="0"/>
      </c:catAx>
      <c:valAx>
        <c:axId val="17363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3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Out-of-order</a:t>
            </a:r>
            <a:r>
              <a:rPr lang="en-US" baseline="0"/>
              <a:t> execution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Sheet2!$B$10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Sheet2!$A$11:$A$15</c:f>
              <c:strCache>
                <c:ptCount val="5"/>
                <c:pt idx="0">
                  <c:v>Fibonnaci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Sheet2!$B$11:$B$15</c:f>
              <c:numCache>
                <c:formatCode>General</c:formatCode>
                <c:ptCount val="5"/>
                <c:pt idx="0">
                  <c:v>0.67720000000000002</c:v>
                </c:pt>
                <c:pt idx="1">
                  <c:v>0.74739999999999995</c:v>
                </c:pt>
                <c:pt idx="2">
                  <c:v>0.65749999999999997</c:v>
                </c:pt>
                <c:pt idx="3">
                  <c:v>0.62580000000000002</c:v>
                </c:pt>
                <c:pt idx="4">
                  <c:v>0.52159999999999995</c:v>
                </c:pt>
              </c:numCache>
            </c:numRef>
          </c:val>
        </c:ser>
        <c:ser>
          <c:idx val="1"/>
          <c:order val="1"/>
          <c:tx>
            <c:strRef>
              <c:f>Sheet2!$C$10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Sheet2!$A$11:$A$15</c:f>
              <c:strCache>
                <c:ptCount val="5"/>
                <c:pt idx="0">
                  <c:v>Fibonnaci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Sheet2!$C$11:$C$15</c:f>
              <c:numCache>
                <c:formatCode>General</c:formatCode>
                <c:ptCount val="5"/>
                <c:pt idx="0">
                  <c:v>1.2587999999999999</c:v>
                </c:pt>
                <c:pt idx="1">
                  <c:v>1.4850000000000001</c:v>
                </c:pt>
                <c:pt idx="2">
                  <c:v>1.0257000000000001</c:v>
                </c:pt>
                <c:pt idx="3">
                  <c:v>1.1285000000000001</c:v>
                </c:pt>
                <c:pt idx="4">
                  <c:v>0.89039999999999997</c:v>
                </c:pt>
              </c:numCache>
            </c:numRef>
          </c:val>
        </c:ser>
        <c:ser>
          <c:idx val="2"/>
          <c:order val="2"/>
          <c:tx>
            <c:strRef>
              <c:f>Sheet2!$D$10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Sheet2!$A$11:$A$15</c:f>
              <c:strCache>
                <c:ptCount val="5"/>
                <c:pt idx="0">
                  <c:v>Fibonnaci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Sheet2!$D$11:$D$15</c:f>
              <c:numCache>
                <c:formatCode>General</c:formatCode>
                <c:ptCount val="5"/>
                <c:pt idx="0">
                  <c:v>1.895</c:v>
                </c:pt>
                <c:pt idx="1">
                  <c:v>2.0190000000000001</c:v>
                </c:pt>
                <c:pt idx="2">
                  <c:v>1.1073</c:v>
                </c:pt>
                <c:pt idx="3">
                  <c:v>1.3887</c:v>
                </c:pt>
                <c:pt idx="4">
                  <c:v>1.2035</c:v>
                </c:pt>
              </c:numCache>
            </c:numRef>
          </c:val>
        </c:ser>
        <c:ser>
          <c:idx val="3"/>
          <c:order val="3"/>
          <c:tx>
            <c:strRef>
              <c:f>Sheet2!$E$10</c:f>
              <c:strCache>
                <c:ptCount val="1"/>
                <c:pt idx="0">
                  <c:v>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Sheet2!$A$11:$A$15</c:f>
              <c:strCache>
                <c:ptCount val="5"/>
                <c:pt idx="0">
                  <c:v>Fibonnaci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Sheet2!$E$11:$E$15</c:f>
              <c:numCache>
                <c:formatCode>General</c:formatCode>
                <c:ptCount val="5"/>
                <c:pt idx="0">
                  <c:v>2.0013999999999998</c:v>
                </c:pt>
                <c:pt idx="1">
                  <c:v>2.1103000000000001</c:v>
                </c:pt>
                <c:pt idx="2">
                  <c:v>1.1248</c:v>
                </c:pt>
                <c:pt idx="3">
                  <c:v>1.4222600000000001</c:v>
                </c:pt>
                <c:pt idx="4">
                  <c:v>1.1388</c:v>
                </c:pt>
              </c:numCache>
            </c:numRef>
          </c:val>
        </c:ser>
        <c:ser>
          <c:idx val="4"/>
          <c:order val="4"/>
          <c:tx>
            <c:strRef>
              <c:f>Sheet2!$F$10</c:f>
              <c:strCache>
                <c:ptCount val="1"/>
                <c:pt idx="0">
                  <c:v>default amount of resources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Sheet2!$A$11:$A$15</c:f>
              <c:strCache>
                <c:ptCount val="5"/>
                <c:pt idx="0">
                  <c:v>Fibonnaci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Sheet2!$F$11:$F$15</c:f>
              <c:numCache>
                <c:formatCode>General</c:formatCode>
                <c:ptCount val="5"/>
                <c:pt idx="0">
                  <c:v>2.0099</c:v>
                </c:pt>
                <c:pt idx="1">
                  <c:v>2.1103000000000001</c:v>
                </c:pt>
                <c:pt idx="2">
                  <c:v>1.05</c:v>
                </c:pt>
                <c:pt idx="3">
                  <c:v>1.1886000000000001</c:v>
                </c:pt>
                <c:pt idx="4">
                  <c:v>1.204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680896"/>
        <c:axId val="173686784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Sheet2!$G$10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Sheet2!$A$11:$A$15</c15:sqref>
                        </c15:formulaRef>
                      </c:ext>
                    </c:extLst>
                    <c:strCache>
                      <c:ptCount val="5"/>
                      <c:pt idx="0">
                        <c:v>Fibonnaci</c:v>
                      </c:pt>
                      <c:pt idx="1">
                        <c:v>Matmul</c:v>
                      </c:pt>
                      <c:pt idx="2">
                        <c:v>Pi</c:v>
                      </c:pt>
                      <c:pt idx="3">
                        <c:v>Whetstone</c:v>
                      </c:pt>
                      <c:pt idx="4">
                        <c:v>Memcopy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Sheet2!$G$11:$G$15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</c15:ser>
            </c15:filteredBarSeries>
          </c:ext>
        </c:extLst>
      </c:barChart>
      <c:catAx>
        <c:axId val="17368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86784"/>
        <c:crosses val="autoZero"/>
        <c:auto val="1"/>
        <c:lblAlgn val="ctr"/>
        <c:lblOffset val="100"/>
        <c:noMultiLvlLbl val="0"/>
      </c:catAx>
      <c:valAx>
        <c:axId val="17368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8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Sheet2!$J$2</c:f>
              <c:strCache>
                <c:ptCount val="1"/>
                <c:pt idx="0">
                  <c:v>1</c:v>
                </c:pt>
              </c:strCache>
            </c:strRef>
          </c:tx>
          <c:invertIfNegative val="0"/>
          <c:cat>
            <c:strRef>
              <c:f>Sheet2!$I$3:$I$7</c:f>
              <c:strCache>
                <c:ptCount val="5"/>
                <c:pt idx="0">
                  <c:v>Fibonnaci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Sheet2!$J$3:$J$7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strRef>
              <c:f>Sheet2!$K$2</c:f>
              <c:strCache>
                <c:ptCount val="1"/>
                <c:pt idx="0">
                  <c:v>2</c:v>
                </c:pt>
              </c:strCache>
            </c:strRef>
          </c:tx>
          <c:invertIfNegative val="0"/>
          <c:cat>
            <c:strRef>
              <c:f>Sheet2!$I$3:$I$7</c:f>
              <c:strCache>
                <c:ptCount val="5"/>
                <c:pt idx="0">
                  <c:v>Fibonnaci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Sheet2!$K$3:$K$7</c:f>
              <c:numCache>
                <c:formatCode>General</c:formatCode>
                <c:ptCount val="5"/>
                <c:pt idx="0">
                  <c:v>9.3122989738091633</c:v>
                </c:pt>
                <c:pt idx="1">
                  <c:v>1.7405719021964501</c:v>
                </c:pt>
                <c:pt idx="2">
                  <c:v>3.5240690281562053</c:v>
                </c:pt>
                <c:pt idx="3">
                  <c:v>21.571622539035999</c:v>
                </c:pt>
                <c:pt idx="4">
                  <c:v>5.1720747295968579</c:v>
                </c:pt>
              </c:numCache>
            </c:numRef>
          </c:val>
        </c:ser>
        <c:ser>
          <c:idx val="2"/>
          <c:order val="2"/>
          <c:tx>
            <c:strRef>
              <c:f>Sheet2!$L$2</c:f>
              <c:strCache>
                <c:ptCount val="1"/>
                <c:pt idx="0">
                  <c:v>4</c:v>
                </c:pt>
              </c:strCache>
            </c:strRef>
          </c:tx>
          <c:invertIfNegative val="0"/>
          <c:cat>
            <c:strRef>
              <c:f>Sheet2!$I$3:$I$7</c:f>
              <c:strCache>
                <c:ptCount val="5"/>
                <c:pt idx="0">
                  <c:v>Fibonnaci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Sheet2!$L$3:$L$7</c:f>
              <c:numCache>
                <c:formatCode>General</c:formatCode>
                <c:ptCount val="5"/>
                <c:pt idx="0">
                  <c:v>14.366671772093738</c:v>
                </c:pt>
                <c:pt idx="1">
                  <c:v>1.7820140903439778</c:v>
                </c:pt>
                <c:pt idx="2">
                  <c:v>4.3960036330608574</c:v>
                </c:pt>
                <c:pt idx="3">
                  <c:v>24.796334012219972</c:v>
                </c:pt>
                <c:pt idx="4">
                  <c:v>10.855457227138658</c:v>
                </c:pt>
              </c:numCache>
            </c:numRef>
          </c:val>
        </c:ser>
        <c:ser>
          <c:idx val="3"/>
          <c:order val="3"/>
          <c:tx>
            <c:strRef>
              <c:f>Sheet2!$M$2</c:f>
              <c:strCache>
                <c:ptCount val="1"/>
                <c:pt idx="0">
                  <c:v>8</c:v>
                </c:pt>
              </c:strCache>
            </c:strRef>
          </c:tx>
          <c:invertIfNegative val="0"/>
          <c:cat>
            <c:strRef>
              <c:f>Sheet2!$I$3:$I$7</c:f>
              <c:strCache>
                <c:ptCount val="5"/>
                <c:pt idx="0">
                  <c:v>Fibonnaci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Sheet2!$M$3:$M$7</c:f>
              <c:numCache>
                <c:formatCode>General</c:formatCode>
                <c:ptCount val="5"/>
                <c:pt idx="0">
                  <c:v>14.38198805330066</c:v>
                </c:pt>
                <c:pt idx="1">
                  <c:v>1.7958281530598015</c:v>
                </c:pt>
                <c:pt idx="2">
                  <c:v>4.5231607629427941</c:v>
                </c:pt>
                <c:pt idx="3">
                  <c:v>25.033944331296681</c:v>
                </c:pt>
                <c:pt idx="4">
                  <c:v>10.855457227138658</c:v>
                </c:pt>
              </c:numCache>
            </c:numRef>
          </c:val>
        </c:ser>
        <c:ser>
          <c:idx val="4"/>
          <c:order val="4"/>
          <c:tx>
            <c:strRef>
              <c:f>Sheet2!$N$2</c:f>
              <c:strCache>
                <c:ptCount val="1"/>
                <c:pt idx="0">
                  <c:v>default amount of resources</c:v>
                </c:pt>
              </c:strCache>
            </c:strRef>
          </c:tx>
          <c:invertIfNegative val="0"/>
          <c:cat>
            <c:strRef>
              <c:f>Sheet2!$I$3:$I$7</c:f>
              <c:strCache>
                <c:ptCount val="5"/>
                <c:pt idx="0">
                  <c:v>Fibonnaci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Sheet2!$N$3:$N$7</c:f>
              <c:numCache>
                <c:formatCode>General</c:formatCode>
                <c:ptCount val="5"/>
                <c:pt idx="0">
                  <c:v>14.38198805330066</c:v>
                </c:pt>
                <c:pt idx="1">
                  <c:v>1.7958281530598015</c:v>
                </c:pt>
                <c:pt idx="2">
                  <c:v>4.5049954586739318</c:v>
                </c:pt>
                <c:pt idx="3">
                  <c:v>20.960624575695874</c:v>
                </c:pt>
                <c:pt idx="4">
                  <c:v>10.855457227138658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449088"/>
        <c:axId val="53450624"/>
      </c:barChart>
      <c:catAx>
        <c:axId val="53449088"/>
        <c:scaling>
          <c:orientation val="minMax"/>
        </c:scaling>
        <c:delete val="0"/>
        <c:axPos val="b"/>
        <c:majorTickMark val="out"/>
        <c:minorTickMark val="none"/>
        <c:tickLblPos val="nextTo"/>
        <c:crossAx val="53450624"/>
        <c:crosses val="autoZero"/>
        <c:auto val="1"/>
        <c:lblAlgn val="ctr"/>
        <c:lblOffset val="100"/>
        <c:noMultiLvlLbl val="0"/>
      </c:catAx>
      <c:valAx>
        <c:axId val="53450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4490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Sheet2!$J$10</c:f>
              <c:strCache>
                <c:ptCount val="1"/>
                <c:pt idx="0">
                  <c:v>1</c:v>
                </c:pt>
              </c:strCache>
            </c:strRef>
          </c:tx>
          <c:invertIfNegative val="0"/>
          <c:cat>
            <c:strRef>
              <c:f>Sheet2!$I$11:$I$16</c:f>
              <c:strCache>
                <c:ptCount val="5"/>
                <c:pt idx="0">
                  <c:v>Fibonnaci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Sheet2!$J$11:$J$16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strRef>
              <c:f>Sheet2!$K$10</c:f>
              <c:strCache>
                <c:ptCount val="1"/>
                <c:pt idx="0">
                  <c:v>2</c:v>
                </c:pt>
              </c:strCache>
            </c:strRef>
          </c:tx>
          <c:invertIfNegative val="0"/>
          <c:cat>
            <c:strRef>
              <c:f>Sheet2!$I$11:$I$16</c:f>
              <c:strCache>
                <c:ptCount val="5"/>
                <c:pt idx="0">
                  <c:v>Fibonnaci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Sheet2!$K$11:$K$16</c:f>
              <c:numCache>
                <c:formatCode>General</c:formatCode>
                <c:ptCount val="6"/>
                <c:pt idx="0">
                  <c:v>85.883047844063782</c:v>
                </c:pt>
                <c:pt idx="1">
                  <c:v>98.688787797698723</c:v>
                </c:pt>
                <c:pt idx="2">
                  <c:v>56</c:v>
                </c:pt>
                <c:pt idx="3">
                  <c:v>80.329178651326316</c:v>
                </c:pt>
                <c:pt idx="4">
                  <c:v>70.705521472392633</c:v>
                </c:pt>
              </c:numCache>
            </c:numRef>
          </c:val>
        </c:ser>
        <c:ser>
          <c:idx val="2"/>
          <c:order val="2"/>
          <c:tx>
            <c:strRef>
              <c:f>Sheet2!$L$10</c:f>
              <c:strCache>
                <c:ptCount val="1"/>
                <c:pt idx="0">
                  <c:v>4</c:v>
                </c:pt>
              </c:strCache>
            </c:strRef>
          </c:tx>
          <c:invertIfNegative val="0"/>
          <c:cat>
            <c:strRef>
              <c:f>Sheet2!$I$11:$I$16</c:f>
              <c:strCache>
                <c:ptCount val="5"/>
                <c:pt idx="0">
                  <c:v>Fibonnaci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Sheet2!$L$11:$L$16</c:f>
              <c:numCache>
                <c:formatCode>General</c:formatCode>
                <c:ptCount val="6"/>
                <c:pt idx="0">
                  <c:v>179.82870643827528</c:v>
                </c:pt>
                <c:pt idx="1">
                  <c:v>170.13647310677015</c:v>
                </c:pt>
                <c:pt idx="2">
                  <c:v>68.410646387832685</c:v>
                </c:pt>
                <c:pt idx="3">
                  <c:v>121.90795781399811</c:v>
                </c:pt>
                <c:pt idx="4">
                  <c:v>130.73236196319021</c:v>
                </c:pt>
              </c:numCache>
            </c:numRef>
          </c:val>
        </c:ser>
        <c:ser>
          <c:idx val="3"/>
          <c:order val="3"/>
          <c:tx>
            <c:strRef>
              <c:f>Sheet2!$M$10</c:f>
              <c:strCache>
                <c:ptCount val="1"/>
                <c:pt idx="0">
                  <c:v>8</c:v>
                </c:pt>
              </c:strCache>
            </c:strRef>
          </c:tx>
          <c:invertIfNegative val="0"/>
          <c:cat>
            <c:strRef>
              <c:f>Sheet2!$I$11:$I$16</c:f>
              <c:strCache>
                <c:ptCount val="5"/>
                <c:pt idx="0">
                  <c:v>Fibonnaci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Sheet2!$M$11:$M$16</c:f>
              <c:numCache>
                <c:formatCode>General</c:formatCode>
                <c:ptCount val="6"/>
                <c:pt idx="0">
                  <c:v>195.54046072061425</c:v>
                </c:pt>
                <c:pt idx="1">
                  <c:v>182.35215413433241</c:v>
                </c:pt>
                <c:pt idx="2">
                  <c:v>71.07224334600761</c:v>
                </c:pt>
                <c:pt idx="3">
                  <c:v>127.27069351230423</c:v>
                </c:pt>
                <c:pt idx="4">
                  <c:v>118.32822085889575</c:v>
                </c:pt>
              </c:numCache>
            </c:numRef>
          </c:val>
        </c:ser>
        <c:ser>
          <c:idx val="4"/>
          <c:order val="4"/>
          <c:tx>
            <c:strRef>
              <c:f>Sheet2!$N$10</c:f>
              <c:strCache>
                <c:ptCount val="1"/>
                <c:pt idx="0">
                  <c:v>default amount of resources</c:v>
                </c:pt>
              </c:strCache>
            </c:strRef>
          </c:tx>
          <c:invertIfNegative val="0"/>
          <c:cat>
            <c:strRef>
              <c:f>Sheet2!$I$11:$I$16</c:f>
              <c:strCache>
                <c:ptCount val="5"/>
                <c:pt idx="0">
                  <c:v>Fibonnaci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Sheet2!$N$11:$N$16</c:f>
              <c:numCache>
                <c:formatCode>General</c:formatCode>
                <c:ptCount val="6"/>
                <c:pt idx="0">
                  <c:v>196.79562906083873</c:v>
                </c:pt>
                <c:pt idx="1">
                  <c:v>182.35215413433241</c:v>
                </c:pt>
                <c:pt idx="2">
                  <c:v>59.695817490494306</c:v>
                </c:pt>
                <c:pt idx="3">
                  <c:v>89.932885906040269</c:v>
                </c:pt>
                <c:pt idx="4">
                  <c:v>130.82822085889575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919552"/>
        <c:axId val="204921088"/>
      </c:barChart>
      <c:catAx>
        <c:axId val="204919552"/>
        <c:scaling>
          <c:orientation val="minMax"/>
        </c:scaling>
        <c:delete val="0"/>
        <c:axPos val="b"/>
        <c:majorTickMark val="out"/>
        <c:minorTickMark val="none"/>
        <c:tickLblPos val="nextTo"/>
        <c:crossAx val="204921088"/>
        <c:crosses val="autoZero"/>
        <c:auto val="1"/>
        <c:lblAlgn val="ctr"/>
        <c:lblOffset val="100"/>
        <c:noMultiLvlLbl val="0"/>
      </c:catAx>
      <c:valAx>
        <c:axId val="204921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9195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Sheet2!$R$2</c:f>
              <c:strCache>
                <c:ptCount val="1"/>
                <c:pt idx="0">
                  <c:v>1</c:v>
                </c:pt>
              </c:strCache>
            </c:strRef>
          </c:tx>
          <c:invertIfNegative val="0"/>
          <c:cat>
            <c:strRef>
              <c:f>Sheet2!$Q$3:$Q$7</c:f>
              <c:strCache>
                <c:ptCount val="5"/>
                <c:pt idx="0">
                  <c:v>Fibonnaci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Sheet2!$R$3:$R$7</c:f>
              <c:numCache>
                <c:formatCode>General</c:formatCode>
                <c:ptCount val="5"/>
                <c:pt idx="0">
                  <c:v>3.7218563332822754</c:v>
                </c:pt>
                <c:pt idx="1">
                  <c:v>3.2463047382235146</c:v>
                </c:pt>
                <c:pt idx="2">
                  <c:v>19.436875567665751</c:v>
                </c:pt>
                <c:pt idx="3">
                  <c:v>6.2118126272912519</c:v>
                </c:pt>
                <c:pt idx="4">
                  <c:v>2.5762045231071795</c:v>
                </c:pt>
              </c:numCache>
            </c:numRef>
          </c:val>
        </c:ser>
        <c:ser>
          <c:idx val="1"/>
          <c:order val="1"/>
          <c:tx>
            <c:strRef>
              <c:f>Sheet2!$S$2</c:f>
              <c:strCache>
                <c:ptCount val="1"/>
                <c:pt idx="0">
                  <c:v>2</c:v>
                </c:pt>
              </c:strCache>
            </c:strRef>
          </c:tx>
          <c:invertIfNegative val="0"/>
          <c:cat>
            <c:strRef>
              <c:f>Sheet2!$Q$3:$Q$7</c:f>
              <c:strCache>
                <c:ptCount val="5"/>
                <c:pt idx="0">
                  <c:v>Fibonnaci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Sheet2!$S$3:$S$7</c:f>
              <c:numCache>
                <c:formatCode>General</c:formatCode>
                <c:ptCount val="5"/>
                <c:pt idx="0">
                  <c:v>76.376628835645221</c:v>
                </c:pt>
                <c:pt idx="1">
                  <c:v>101.62932790224031</c:v>
                </c:pt>
                <c:pt idx="2">
                  <c:v>79.97894367432886</c:v>
                </c:pt>
                <c:pt idx="3">
                  <c:v>57.545721066592222</c:v>
                </c:pt>
                <c:pt idx="4">
                  <c:v>66.492146596858618</c:v>
                </c:pt>
              </c:numCache>
            </c:numRef>
          </c:val>
        </c:ser>
        <c:ser>
          <c:idx val="2"/>
          <c:order val="2"/>
          <c:tx>
            <c:strRef>
              <c:f>Sheet2!$T$2</c:f>
              <c:strCache>
                <c:ptCount val="1"/>
                <c:pt idx="0">
                  <c:v>4</c:v>
                </c:pt>
              </c:strCache>
            </c:strRef>
          </c:tx>
          <c:invertIfNegative val="0"/>
          <c:cat>
            <c:strRef>
              <c:f>Sheet2!$Q$3:$Q$7</c:f>
              <c:strCache>
                <c:ptCount val="5"/>
                <c:pt idx="0">
                  <c:v>Fibonnaci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Sheet2!$T$3:$T$7</c:f>
              <c:numCache>
                <c:formatCode>General</c:formatCode>
                <c:ptCount val="5"/>
                <c:pt idx="0">
                  <c:v>153.78331324494442</c:v>
                </c:pt>
                <c:pt idx="1">
                  <c:v>174.02280130293161</c:v>
                </c:pt>
                <c:pt idx="2">
                  <c:v>92.674438837654435</c:v>
                </c:pt>
                <c:pt idx="3">
                  <c:v>88.861689106487177</c:v>
                </c:pt>
                <c:pt idx="4">
                  <c:v>113.50008869966297</c:v>
                </c:pt>
              </c:numCache>
            </c:numRef>
          </c:val>
        </c:ser>
        <c:ser>
          <c:idx val="3"/>
          <c:order val="3"/>
          <c:tx>
            <c:strRef>
              <c:f>Sheet2!$U$2</c:f>
              <c:strCache>
                <c:ptCount val="1"/>
                <c:pt idx="0">
                  <c:v>8</c:v>
                </c:pt>
              </c:strCache>
            </c:strRef>
          </c:tx>
          <c:invertIfNegative val="0"/>
          <c:cat>
            <c:strRef>
              <c:f>Sheet2!$Q$3:$Q$7</c:f>
              <c:strCache>
                <c:ptCount val="5"/>
                <c:pt idx="0">
                  <c:v>Fibonnaci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Sheet2!$U$3:$U$7</c:f>
              <c:numCache>
                <c:formatCode>General</c:formatCode>
                <c:ptCount val="5"/>
                <c:pt idx="0">
                  <c:v>167.99678628816281</c:v>
                </c:pt>
                <c:pt idx="1">
                  <c:v>186.37535622201113</c:v>
                </c:pt>
                <c:pt idx="2">
                  <c:v>95.48140424052832</c:v>
                </c:pt>
                <c:pt idx="3">
                  <c:v>93.058232659155692</c:v>
                </c:pt>
                <c:pt idx="4">
                  <c:v>102.02235231506123</c:v>
                </c:pt>
              </c:numCache>
            </c:numRef>
          </c:val>
        </c:ser>
        <c:ser>
          <c:idx val="4"/>
          <c:order val="4"/>
          <c:tx>
            <c:strRef>
              <c:f>Sheet2!$V$2</c:f>
              <c:strCache>
                <c:ptCount val="1"/>
                <c:pt idx="0">
                  <c:v>default amount of resources</c:v>
                </c:pt>
              </c:strCache>
            </c:strRef>
          </c:tx>
          <c:invertIfNegative val="0"/>
          <c:cat>
            <c:strRef>
              <c:f>Sheet2!$Q$3:$Q$7</c:f>
              <c:strCache>
                <c:ptCount val="5"/>
                <c:pt idx="0">
                  <c:v>Fibonnaci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Sheet2!$V$3:$V$7</c:f>
              <c:numCache>
                <c:formatCode>General</c:formatCode>
                <c:ptCount val="5"/>
                <c:pt idx="0">
                  <c:v>169.13497589716121</c:v>
                </c:pt>
                <c:pt idx="1">
                  <c:v>186.37535622201113</c:v>
                </c:pt>
                <c:pt idx="2">
                  <c:v>82.513471232400491</c:v>
                </c:pt>
                <c:pt idx="3">
                  <c:v>66.77423881015855</c:v>
                </c:pt>
                <c:pt idx="4">
                  <c:v>113.58878836260425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381696"/>
        <c:axId val="212383232"/>
      </c:barChart>
      <c:catAx>
        <c:axId val="212381696"/>
        <c:scaling>
          <c:orientation val="minMax"/>
        </c:scaling>
        <c:delete val="0"/>
        <c:axPos val="b"/>
        <c:majorTickMark val="out"/>
        <c:minorTickMark val="none"/>
        <c:tickLblPos val="nextTo"/>
        <c:crossAx val="212383232"/>
        <c:crosses val="autoZero"/>
        <c:auto val="1"/>
        <c:lblAlgn val="ctr"/>
        <c:lblOffset val="100"/>
        <c:noMultiLvlLbl val="0"/>
      </c:catAx>
      <c:valAx>
        <c:axId val="212383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816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Using</a:t>
            </a:r>
            <a:r>
              <a:rPr lang="en-US" baseline="0"/>
              <a:t> the default amount of resources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Sheet3!$B$2</c:f>
              <c:strCache>
                <c:ptCount val="1"/>
                <c:pt idx="0">
                  <c:v>(16,8)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Sheet3!$A$3:$A$7</c:f>
              <c:strCache>
                <c:ptCount val="5"/>
                <c:pt idx="0">
                  <c:v>Fibonacci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Sheet3!$B$3:$B$7</c:f>
              <c:numCache>
                <c:formatCode>General</c:formatCode>
                <c:ptCount val="5"/>
                <c:pt idx="0">
                  <c:v>2.0089999999999999</c:v>
                </c:pt>
                <c:pt idx="1">
                  <c:v>2.1103000000000001</c:v>
                </c:pt>
                <c:pt idx="2">
                  <c:v>1.05</c:v>
                </c:pt>
                <c:pt idx="3">
                  <c:v>1.1886000000000001</c:v>
                </c:pt>
                <c:pt idx="4">
                  <c:v>1.204</c:v>
                </c:pt>
              </c:numCache>
            </c:numRef>
          </c:val>
        </c:ser>
        <c:ser>
          <c:idx val="1"/>
          <c:order val="1"/>
          <c:tx>
            <c:strRef>
              <c:f>Sheet3!$C$2</c:f>
              <c:strCache>
                <c:ptCount val="1"/>
                <c:pt idx="0">
                  <c:v>(32,8)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Sheet3!$A$3:$A$7</c:f>
              <c:strCache>
                <c:ptCount val="5"/>
                <c:pt idx="0">
                  <c:v>Fibonacci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Sheet3!$C$3:$C$7</c:f>
              <c:numCache>
                <c:formatCode>General</c:formatCode>
                <c:ptCount val="5"/>
                <c:pt idx="0">
                  <c:v>2.0611000000000002</c:v>
                </c:pt>
                <c:pt idx="1">
                  <c:v>2.2288999999999999</c:v>
                </c:pt>
                <c:pt idx="2">
                  <c:v>1.0654999999999999</c:v>
                </c:pt>
                <c:pt idx="3">
                  <c:v>1.1043000000000001</c:v>
                </c:pt>
                <c:pt idx="4">
                  <c:v>1.2173</c:v>
                </c:pt>
              </c:numCache>
            </c:numRef>
          </c:val>
        </c:ser>
        <c:ser>
          <c:idx val="2"/>
          <c:order val="2"/>
          <c:tx>
            <c:strRef>
              <c:f>Sheet3!$D$2</c:f>
              <c:strCache>
                <c:ptCount val="1"/>
                <c:pt idx="0">
                  <c:v>(32,16)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Sheet3!$A$3:$A$7</c:f>
              <c:strCache>
                <c:ptCount val="5"/>
                <c:pt idx="0">
                  <c:v>Fibonacci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Sheet3!$D$3:$D$7</c:f>
              <c:numCache>
                <c:formatCode>General</c:formatCode>
                <c:ptCount val="5"/>
                <c:pt idx="0">
                  <c:v>1.9811000000000001</c:v>
                </c:pt>
                <c:pt idx="1">
                  <c:v>2.7622</c:v>
                </c:pt>
                <c:pt idx="2">
                  <c:v>1.3064</c:v>
                </c:pt>
                <c:pt idx="3">
                  <c:v>1.1466000000000001</c:v>
                </c:pt>
                <c:pt idx="4">
                  <c:v>1.5901000000000001</c:v>
                </c:pt>
              </c:numCache>
            </c:numRef>
          </c:val>
        </c:ser>
        <c:ser>
          <c:idx val="3"/>
          <c:order val="3"/>
          <c:tx>
            <c:strRef>
              <c:f>Sheet3!$E$2</c:f>
              <c:strCache>
                <c:ptCount val="1"/>
                <c:pt idx="0">
                  <c:v>(64,16)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Sheet3!$A$3:$A$7</c:f>
              <c:strCache>
                <c:ptCount val="5"/>
                <c:pt idx="0">
                  <c:v>Fibonacci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Sheet3!$E$3:$E$7</c:f>
              <c:numCache>
                <c:formatCode>General</c:formatCode>
                <c:ptCount val="5"/>
                <c:pt idx="0">
                  <c:v>2.0482999999999998</c:v>
                </c:pt>
                <c:pt idx="1">
                  <c:v>3.3347000000000002</c:v>
                </c:pt>
                <c:pt idx="2">
                  <c:v>1.4112</c:v>
                </c:pt>
                <c:pt idx="3">
                  <c:v>0.98529999999999995</c:v>
                </c:pt>
                <c:pt idx="4">
                  <c:v>1.5994999999999999</c:v>
                </c:pt>
              </c:numCache>
            </c:numRef>
          </c:val>
        </c:ser>
        <c:ser>
          <c:idx val="4"/>
          <c:order val="4"/>
          <c:tx>
            <c:strRef>
              <c:f>Sheet3!$F$2</c:f>
              <c:strCache>
                <c:ptCount val="1"/>
                <c:pt idx="0">
                  <c:v>(64,32)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Sheet3!$A$3:$A$7</c:f>
              <c:strCache>
                <c:ptCount val="5"/>
                <c:pt idx="0">
                  <c:v>Fibonacci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Sheet3!$F$3:$F$7</c:f>
              <c:numCache>
                <c:formatCode>General</c:formatCode>
                <c:ptCount val="5"/>
                <c:pt idx="0">
                  <c:v>2.0764</c:v>
                </c:pt>
                <c:pt idx="1">
                  <c:v>3.7519</c:v>
                </c:pt>
                <c:pt idx="2">
                  <c:v>1.5415000000000001</c:v>
                </c:pt>
                <c:pt idx="3">
                  <c:v>1.0309999999999999</c:v>
                </c:pt>
                <c:pt idx="4">
                  <c:v>1.8857999999999999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740416"/>
        <c:axId val="173741952"/>
      </c:barChart>
      <c:catAx>
        <c:axId val="173740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741952"/>
        <c:crosses val="autoZero"/>
        <c:auto val="1"/>
        <c:lblAlgn val="ctr"/>
        <c:lblOffset val="100"/>
        <c:noMultiLvlLbl val="0"/>
      </c:catAx>
      <c:valAx>
        <c:axId val="17374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740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Using</a:t>
            </a:r>
            <a:r>
              <a:rPr lang="en-US" baseline="0"/>
              <a:t> doubled amount of resources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Sheet3!$B$12</c:f>
              <c:strCache>
                <c:ptCount val="1"/>
                <c:pt idx="0">
                  <c:v>(16,8)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Sheet3!$A$13:$A$17</c:f>
              <c:strCache>
                <c:ptCount val="5"/>
                <c:pt idx="0">
                  <c:v>Fibonacci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Sheet3!$B$13:$B$17</c:f>
              <c:numCache>
                <c:formatCode>General</c:formatCode>
                <c:ptCount val="5"/>
                <c:pt idx="0">
                  <c:v>2.0013999999999998</c:v>
                </c:pt>
                <c:pt idx="1">
                  <c:v>2.1103000000000001</c:v>
                </c:pt>
                <c:pt idx="2">
                  <c:v>1.1248</c:v>
                </c:pt>
                <c:pt idx="3">
                  <c:v>1.4226000000000001</c:v>
                </c:pt>
                <c:pt idx="4">
                  <c:v>1.1384000000000001</c:v>
                </c:pt>
              </c:numCache>
            </c:numRef>
          </c:val>
        </c:ser>
        <c:ser>
          <c:idx val="1"/>
          <c:order val="1"/>
          <c:tx>
            <c:strRef>
              <c:f>Sheet3!$C$12</c:f>
              <c:strCache>
                <c:ptCount val="1"/>
                <c:pt idx="0">
                  <c:v>(32,8)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Sheet3!$A$13:$A$17</c:f>
              <c:strCache>
                <c:ptCount val="5"/>
                <c:pt idx="0">
                  <c:v>Fibonacci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Sheet3!$C$13:$C$17</c:f>
              <c:numCache>
                <c:formatCode>General</c:formatCode>
                <c:ptCount val="5"/>
                <c:pt idx="0">
                  <c:v>2.0398999999999998</c:v>
                </c:pt>
                <c:pt idx="1">
                  <c:v>2.2288000000000001</c:v>
                </c:pt>
                <c:pt idx="2">
                  <c:v>1.1422000000000001</c:v>
                </c:pt>
                <c:pt idx="3">
                  <c:v>1.498</c:v>
                </c:pt>
                <c:pt idx="4">
                  <c:v>1.1503000000000001</c:v>
                </c:pt>
              </c:numCache>
            </c:numRef>
          </c:val>
        </c:ser>
        <c:ser>
          <c:idx val="2"/>
          <c:order val="2"/>
          <c:tx>
            <c:strRef>
              <c:f>Sheet3!$D$12</c:f>
              <c:strCache>
                <c:ptCount val="1"/>
                <c:pt idx="0">
                  <c:v>(32,16)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Sheet3!$A$13:$A$17</c:f>
              <c:strCache>
                <c:ptCount val="5"/>
                <c:pt idx="0">
                  <c:v>Fibonacci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Sheet3!$D$13:$D$17</c:f>
              <c:numCache>
                <c:formatCode>General</c:formatCode>
                <c:ptCount val="5"/>
                <c:pt idx="0">
                  <c:v>2.1922000000000001</c:v>
                </c:pt>
                <c:pt idx="1">
                  <c:v>2.7654000000000001</c:v>
                </c:pt>
                <c:pt idx="2">
                  <c:v>1.4431</c:v>
                </c:pt>
                <c:pt idx="3">
                  <c:v>1.5770999999999999</c:v>
                </c:pt>
                <c:pt idx="4">
                  <c:v>1.5901000000000001</c:v>
                </c:pt>
              </c:numCache>
            </c:numRef>
          </c:val>
        </c:ser>
        <c:ser>
          <c:idx val="3"/>
          <c:order val="3"/>
          <c:tx>
            <c:strRef>
              <c:f>Sheet3!$E$12</c:f>
              <c:strCache>
                <c:ptCount val="1"/>
                <c:pt idx="0">
                  <c:v>(64,16)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Sheet3!$A$13:$A$17</c:f>
              <c:strCache>
                <c:ptCount val="5"/>
                <c:pt idx="0">
                  <c:v>Fibonacci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Sheet3!$E$13:$E$17</c:f>
              <c:numCache>
                <c:formatCode>General</c:formatCode>
                <c:ptCount val="5"/>
                <c:pt idx="0">
                  <c:v>2.1675</c:v>
                </c:pt>
                <c:pt idx="1">
                  <c:v>3.2355999999999998</c:v>
                </c:pt>
                <c:pt idx="2">
                  <c:v>1.5187999999999999</c:v>
                </c:pt>
                <c:pt idx="3">
                  <c:v>1.6182000000000001</c:v>
                </c:pt>
                <c:pt idx="4">
                  <c:v>1.5995999999999999</c:v>
                </c:pt>
              </c:numCache>
            </c:numRef>
          </c:val>
        </c:ser>
        <c:ser>
          <c:idx val="4"/>
          <c:order val="4"/>
          <c:tx>
            <c:strRef>
              <c:f>Sheet3!$F$12</c:f>
              <c:strCache>
                <c:ptCount val="1"/>
                <c:pt idx="0">
                  <c:v>(64,32)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Sheet3!$A$13:$A$17</c:f>
              <c:strCache>
                <c:ptCount val="5"/>
                <c:pt idx="0">
                  <c:v>Fibonacci</c:v>
                </c:pt>
                <c:pt idx="1">
                  <c:v>Matmul</c:v>
                </c:pt>
                <c:pt idx="2">
                  <c:v>Pi</c:v>
                </c:pt>
                <c:pt idx="3">
                  <c:v>Whetstone</c:v>
                </c:pt>
                <c:pt idx="4">
                  <c:v>Memcopy</c:v>
                </c:pt>
              </c:strCache>
            </c:strRef>
          </c:cat>
          <c:val>
            <c:numRef>
              <c:f>Sheet3!$F$13:$F$17</c:f>
              <c:numCache>
                <c:formatCode>General</c:formatCode>
                <c:ptCount val="5"/>
                <c:pt idx="0">
                  <c:v>2.1890000000000001</c:v>
                </c:pt>
                <c:pt idx="1">
                  <c:v>3.9413999999999998</c:v>
                </c:pt>
                <c:pt idx="2">
                  <c:v>1.696</c:v>
                </c:pt>
                <c:pt idx="3">
                  <c:v>1.7714000000000001</c:v>
                </c:pt>
                <c:pt idx="4">
                  <c:v>1.8858999999999999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792640"/>
        <c:axId val="173798528"/>
      </c:barChart>
      <c:catAx>
        <c:axId val="173792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798528"/>
        <c:crosses val="autoZero"/>
        <c:auto val="1"/>
        <c:lblAlgn val="ctr"/>
        <c:lblOffset val="100"/>
        <c:noMultiLvlLbl val="0"/>
      </c:catAx>
      <c:valAx>
        <c:axId val="17379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792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Sheet3!$H$3</c:f>
              <c:strCache>
                <c:ptCount val="1"/>
                <c:pt idx="0">
                  <c:v>Fibonacci</c:v>
                </c:pt>
              </c:strCache>
            </c:strRef>
          </c:tx>
          <c:invertIfNegative val="0"/>
          <c:cat>
            <c:strRef>
              <c:f>Sheet3!$I$2:$M$2</c:f>
              <c:strCache>
                <c:ptCount val="5"/>
                <c:pt idx="0">
                  <c:v>(16,8)</c:v>
                </c:pt>
                <c:pt idx="1">
                  <c:v>(32,8)</c:v>
                </c:pt>
                <c:pt idx="2">
                  <c:v>(32,16)</c:v>
                </c:pt>
                <c:pt idx="3">
                  <c:v>(64,16)</c:v>
                </c:pt>
                <c:pt idx="4">
                  <c:v>(64,32)</c:v>
                </c:pt>
              </c:strCache>
            </c:strRef>
          </c:cat>
          <c:val>
            <c:numRef>
              <c:f>Sheet3!$I$3:$M$3</c:f>
              <c:numCache>
                <c:formatCode>General</c:formatCode>
                <c:ptCount val="5"/>
                <c:pt idx="0">
                  <c:v>0</c:v>
                </c:pt>
                <c:pt idx="1">
                  <c:v>2.5933300149328034</c:v>
                </c:pt>
                <c:pt idx="2">
                  <c:v>-1.3887506222000923</c:v>
                </c:pt>
                <c:pt idx="3">
                  <c:v>1.9561971129915321</c:v>
                </c:pt>
                <c:pt idx="4">
                  <c:v>3.3549029367844838</c:v>
                </c:pt>
              </c:numCache>
            </c:numRef>
          </c:val>
        </c:ser>
        <c:ser>
          <c:idx val="1"/>
          <c:order val="1"/>
          <c:tx>
            <c:strRef>
              <c:f>Sheet3!$H$4</c:f>
              <c:strCache>
                <c:ptCount val="1"/>
                <c:pt idx="0">
                  <c:v>Matmul</c:v>
                </c:pt>
              </c:strCache>
            </c:strRef>
          </c:tx>
          <c:invertIfNegative val="0"/>
          <c:cat>
            <c:strRef>
              <c:f>Sheet3!$I$2:$M$2</c:f>
              <c:strCache>
                <c:ptCount val="5"/>
                <c:pt idx="0">
                  <c:v>(16,8)</c:v>
                </c:pt>
                <c:pt idx="1">
                  <c:v>(32,8)</c:v>
                </c:pt>
                <c:pt idx="2">
                  <c:v>(32,16)</c:v>
                </c:pt>
                <c:pt idx="3">
                  <c:v>(64,16)</c:v>
                </c:pt>
                <c:pt idx="4">
                  <c:v>(64,32)</c:v>
                </c:pt>
              </c:strCache>
            </c:strRef>
          </c:cat>
          <c:val>
            <c:numRef>
              <c:f>Sheet3!$I$4:$M$4</c:f>
              <c:numCache>
                <c:formatCode>General</c:formatCode>
                <c:ptCount val="5"/>
                <c:pt idx="0">
                  <c:v>0</c:v>
                </c:pt>
                <c:pt idx="1">
                  <c:v>5.6200540207553331</c:v>
                </c:pt>
                <c:pt idx="2">
                  <c:v>30.891342463156889</c:v>
                </c:pt>
                <c:pt idx="3">
                  <c:v>58.020186703312334</c:v>
                </c:pt>
                <c:pt idx="4">
                  <c:v>77.789887693692833</c:v>
                </c:pt>
              </c:numCache>
            </c:numRef>
          </c:val>
        </c:ser>
        <c:ser>
          <c:idx val="2"/>
          <c:order val="2"/>
          <c:tx>
            <c:strRef>
              <c:f>Sheet3!$H$5</c:f>
              <c:strCache>
                <c:ptCount val="1"/>
                <c:pt idx="0">
                  <c:v>Pi</c:v>
                </c:pt>
              </c:strCache>
            </c:strRef>
          </c:tx>
          <c:invertIfNegative val="0"/>
          <c:cat>
            <c:strRef>
              <c:f>Sheet3!$I$2:$M$2</c:f>
              <c:strCache>
                <c:ptCount val="5"/>
                <c:pt idx="0">
                  <c:v>(16,8)</c:v>
                </c:pt>
                <c:pt idx="1">
                  <c:v>(32,8)</c:v>
                </c:pt>
                <c:pt idx="2">
                  <c:v>(32,16)</c:v>
                </c:pt>
                <c:pt idx="3">
                  <c:v>(64,16)</c:v>
                </c:pt>
                <c:pt idx="4">
                  <c:v>(64,32)</c:v>
                </c:pt>
              </c:strCache>
            </c:strRef>
          </c:cat>
          <c:val>
            <c:numRef>
              <c:f>Sheet3!$I$5:$M$5</c:f>
              <c:numCache>
                <c:formatCode>General</c:formatCode>
                <c:ptCount val="5"/>
                <c:pt idx="0">
                  <c:v>0</c:v>
                </c:pt>
                <c:pt idx="1">
                  <c:v>1.4761904761904532</c:v>
                </c:pt>
                <c:pt idx="2">
                  <c:v>24.419047619047603</c:v>
                </c:pt>
                <c:pt idx="3">
                  <c:v>34.399999999999977</c:v>
                </c:pt>
                <c:pt idx="4">
                  <c:v>46.809523809523824</c:v>
                </c:pt>
              </c:numCache>
            </c:numRef>
          </c:val>
        </c:ser>
        <c:ser>
          <c:idx val="3"/>
          <c:order val="3"/>
          <c:tx>
            <c:strRef>
              <c:f>Sheet3!$H$6</c:f>
              <c:strCache>
                <c:ptCount val="1"/>
                <c:pt idx="0">
                  <c:v>Whetstone</c:v>
                </c:pt>
              </c:strCache>
            </c:strRef>
          </c:tx>
          <c:invertIfNegative val="0"/>
          <c:cat>
            <c:strRef>
              <c:f>Sheet3!$I$2:$M$2</c:f>
              <c:strCache>
                <c:ptCount val="5"/>
                <c:pt idx="0">
                  <c:v>(16,8)</c:v>
                </c:pt>
                <c:pt idx="1">
                  <c:v>(32,8)</c:v>
                </c:pt>
                <c:pt idx="2">
                  <c:v>(32,16)</c:v>
                </c:pt>
                <c:pt idx="3">
                  <c:v>(64,16)</c:v>
                </c:pt>
                <c:pt idx="4">
                  <c:v>(64,32)</c:v>
                </c:pt>
              </c:strCache>
            </c:strRef>
          </c:cat>
          <c:val>
            <c:numRef>
              <c:f>Sheet3!$I$6:$M$6</c:f>
              <c:numCache>
                <c:formatCode>General</c:formatCode>
                <c:ptCount val="5"/>
                <c:pt idx="0">
                  <c:v>0</c:v>
                </c:pt>
                <c:pt idx="1">
                  <c:v>-7.0923775870772374</c:v>
                </c:pt>
                <c:pt idx="2">
                  <c:v>-3.5335689045936363</c:v>
                </c:pt>
                <c:pt idx="3">
                  <c:v>-17.10415615009255</c:v>
                </c:pt>
                <c:pt idx="4">
                  <c:v>-13.259296651522817</c:v>
                </c:pt>
              </c:numCache>
            </c:numRef>
          </c:val>
        </c:ser>
        <c:ser>
          <c:idx val="4"/>
          <c:order val="4"/>
          <c:tx>
            <c:strRef>
              <c:f>Sheet3!$H$7</c:f>
              <c:strCache>
                <c:ptCount val="1"/>
                <c:pt idx="0">
                  <c:v>Memcopy</c:v>
                </c:pt>
              </c:strCache>
            </c:strRef>
          </c:tx>
          <c:invertIfNegative val="0"/>
          <c:cat>
            <c:strRef>
              <c:f>Sheet3!$I$2:$M$2</c:f>
              <c:strCache>
                <c:ptCount val="5"/>
                <c:pt idx="0">
                  <c:v>(16,8)</c:v>
                </c:pt>
                <c:pt idx="1">
                  <c:v>(32,8)</c:v>
                </c:pt>
                <c:pt idx="2">
                  <c:v>(32,16)</c:v>
                </c:pt>
                <c:pt idx="3">
                  <c:v>(64,16)</c:v>
                </c:pt>
                <c:pt idx="4">
                  <c:v>(64,32)</c:v>
                </c:pt>
              </c:strCache>
            </c:strRef>
          </c:cat>
          <c:val>
            <c:numRef>
              <c:f>Sheet3!$I$7:$M$7</c:f>
              <c:numCache>
                <c:formatCode>General</c:formatCode>
                <c:ptCount val="5"/>
                <c:pt idx="0">
                  <c:v>0</c:v>
                </c:pt>
                <c:pt idx="1">
                  <c:v>1.1046511627907023</c:v>
                </c:pt>
                <c:pt idx="2">
                  <c:v>32.068106312292372</c:v>
                </c:pt>
                <c:pt idx="3">
                  <c:v>32.848837209302303</c:v>
                </c:pt>
                <c:pt idx="4">
                  <c:v>56.627906976744185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50272"/>
        <c:axId val="212030592"/>
      </c:barChart>
      <c:catAx>
        <c:axId val="211750272"/>
        <c:scaling>
          <c:orientation val="minMax"/>
        </c:scaling>
        <c:delete val="0"/>
        <c:axPos val="b"/>
        <c:majorTickMark val="out"/>
        <c:minorTickMark val="none"/>
        <c:tickLblPos val="nextTo"/>
        <c:crossAx val="212030592"/>
        <c:crosses val="autoZero"/>
        <c:auto val="1"/>
        <c:lblAlgn val="ctr"/>
        <c:lblOffset val="100"/>
        <c:noMultiLvlLbl val="0"/>
      </c:catAx>
      <c:valAx>
        <c:axId val="21203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502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Sheet3!$H$13</c:f>
              <c:strCache>
                <c:ptCount val="1"/>
                <c:pt idx="0">
                  <c:v>Fibonacci</c:v>
                </c:pt>
              </c:strCache>
            </c:strRef>
          </c:tx>
          <c:invertIfNegative val="0"/>
          <c:cat>
            <c:strRef>
              <c:f>Sheet3!$I$12:$M$12</c:f>
              <c:strCache>
                <c:ptCount val="5"/>
                <c:pt idx="0">
                  <c:v>(16,8)</c:v>
                </c:pt>
                <c:pt idx="1">
                  <c:v>(32,8)</c:v>
                </c:pt>
                <c:pt idx="2">
                  <c:v>(32,16)</c:v>
                </c:pt>
                <c:pt idx="3">
                  <c:v>(64,16)</c:v>
                </c:pt>
                <c:pt idx="4">
                  <c:v>(64,32)</c:v>
                </c:pt>
              </c:strCache>
            </c:strRef>
          </c:cat>
          <c:val>
            <c:numRef>
              <c:f>Sheet3!$I$13:$M$13</c:f>
              <c:numCache>
                <c:formatCode>General</c:formatCode>
                <c:ptCount val="5"/>
                <c:pt idx="0">
                  <c:v>0</c:v>
                </c:pt>
                <c:pt idx="1">
                  <c:v>1.9236534425901795</c:v>
                </c:pt>
                <c:pt idx="2">
                  <c:v>9.5333266713300873</c:v>
                </c:pt>
                <c:pt idx="3">
                  <c:v>8.2991905666033716</c:v>
                </c:pt>
                <c:pt idx="4">
                  <c:v>9.3734385929849111</c:v>
                </c:pt>
              </c:numCache>
            </c:numRef>
          </c:val>
        </c:ser>
        <c:ser>
          <c:idx val="1"/>
          <c:order val="1"/>
          <c:tx>
            <c:strRef>
              <c:f>Sheet3!$H$14</c:f>
              <c:strCache>
                <c:ptCount val="1"/>
                <c:pt idx="0">
                  <c:v>Matmul</c:v>
                </c:pt>
              </c:strCache>
            </c:strRef>
          </c:tx>
          <c:invertIfNegative val="0"/>
          <c:cat>
            <c:strRef>
              <c:f>Sheet3!$I$12:$M$12</c:f>
              <c:strCache>
                <c:ptCount val="5"/>
                <c:pt idx="0">
                  <c:v>(16,8)</c:v>
                </c:pt>
                <c:pt idx="1">
                  <c:v>(32,8)</c:v>
                </c:pt>
                <c:pt idx="2">
                  <c:v>(32,16)</c:v>
                </c:pt>
                <c:pt idx="3">
                  <c:v>(64,16)</c:v>
                </c:pt>
                <c:pt idx="4">
                  <c:v>(64,32)</c:v>
                </c:pt>
              </c:strCache>
            </c:strRef>
          </c:cat>
          <c:val>
            <c:numRef>
              <c:f>Sheet3!$I$14:$M$14</c:f>
              <c:numCache>
                <c:formatCode>General</c:formatCode>
                <c:ptCount val="5"/>
                <c:pt idx="0">
                  <c:v>0</c:v>
                </c:pt>
                <c:pt idx="1">
                  <c:v>5.6153153580059723</c:v>
                </c:pt>
                <c:pt idx="2">
                  <c:v>31.042979671136806</c:v>
                </c:pt>
                <c:pt idx="3">
                  <c:v>53.324171918684527</c:v>
                </c:pt>
                <c:pt idx="4">
                  <c:v>86.769653603753028</c:v>
                </c:pt>
              </c:numCache>
            </c:numRef>
          </c:val>
        </c:ser>
        <c:ser>
          <c:idx val="2"/>
          <c:order val="2"/>
          <c:tx>
            <c:strRef>
              <c:f>Sheet3!$H$15</c:f>
              <c:strCache>
                <c:ptCount val="1"/>
                <c:pt idx="0">
                  <c:v>Pi</c:v>
                </c:pt>
              </c:strCache>
            </c:strRef>
          </c:tx>
          <c:invertIfNegative val="0"/>
          <c:cat>
            <c:strRef>
              <c:f>Sheet3!$I$12:$M$12</c:f>
              <c:strCache>
                <c:ptCount val="5"/>
                <c:pt idx="0">
                  <c:v>(16,8)</c:v>
                </c:pt>
                <c:pt idx="1">
                  <c:v>(32,8)</c:v>
                </c:pt>
                <c:pt idx="2">
                  <c:v>(32,16)</c:v>
                </c:pt>
                <c:pt idx="3">
                  <c:v>(64,16)</c:v>
                </c:pt>
                <c:pt idx="4">
                  <c:v>(64,32)</c:v>
                </c:pt>
              </c:strCache>
            </c:strRef>
          </c:cat>
          <c:val>
            <c:numRef>
              <c:f>Sheet3!$I$15:$M$15</c:f>
              <c:numCache>
                <c:formatCode>General</c:formatCode>
                <c:ptCount val="5"/>
                <c:pt idx="0">
                  <c:v>0</c:v>
                </c:pt>
                <c:pt idx="1">
                  <c:v>1.5469416785206249</c:v>
                </c:pt>
                <c:pt idx="2">
                  <c:v>28.298364153627318</c:v>
                </c:pt>
                <c:pt idx="3">
                  <c:v>35.028449502133697</c:v>
                </c:pt>
                <c:pt idx="4">
                  <c:v>50.782361308677082</c:v>
                </c:pt>
              </c:numCache>
            </c:numRef>
          </c:val>
        </c:ser>
        <c:ser>
          <c:idx val="3"/>
          <c:order val="3"/>
          <c:tx>
            <c:strRef>
              <c:f>Sheet3!$H$16</c:f>
              <c:strCache>
                <c:ptCount val="1"/>
                <c:pt idx="0">
                  <c:v>Whetstone</c:v>
                </c:pt>
              </c:strCache>
            </c:strRef>
          </c:tx>
          <c:invertIfNegative val="0"/>
          <c:cat>
            <c:strRef>
              <c:f>Sheet3!$I$12:$M$12</c:f>
              <c:strCache>
                <c:ptCount val="5"/>
                <c:pt idx="0">
                  <c:v>(16,8)</c:v>
                </c:pt>
                <c:pt idx="1">
                  <c:v>(32,8)</c:v>
                </c:pt>
                <c:pt idx="2">
                  <c:v>(32,16)</c:v>
                </c:pt>
                <c:pt idx="3">
                  <c:v>(64,16)</c:v>
                </c:pt>
                <c:pt idx="4">
                  <c:v>(64,32)</c:v>
                </c:pt>
              </c:strCache>
            </c:strRef>
          </c:cat>
          <c:val>
            <c:numRef>
              <c:f>Sheet3!$I$16:$M$16</c:f>
              <c:numCache>
                <c:formatCode>General</c:formatCode>
                <c:ptCount val="5"/>
                <c:pt idx="0">
                  <c:v>0</c:v>
                </c:pt>
                <c:pt idx="1">
                  <c:v>5.3001546464220439</c:v>
                </c:pt>
                <c:pt idx="2">
                  <c:v>10.860396457191058</c:v>
                </c:pt>
                <c:pt idx="3">
                  <c:v>13.749472796288487</c:v>
                </c:pt>
                <c:pt idx="4">
                  <c:v>24.518487276817098</c:v>
                </c:pt>
              </c:numCache>
            </c:numRef>
          </c:val>
        </c:ser>
        <c:ser>
          <c:idx val="4"/>
          <c:order val="4"/>
          <c:tx>
            <c:strRef>
              <c:f>Sheet3!$H$17</c:f>
              <c:strCache>
                <c:ptCount val="1"/>
                <c:pt idx="0">
                  <c:v>Memcopy</c:v>
                </c:pt>
              </c:strCache>
            </c:strRef>
          </c:tx>
          <c:invertIfNegative val="0"/>
          <c:cat>
            <c:strRef>
              <c:f>Sheet3!$I$12:$M$12</c:f>
              <c:strCache>
                <c:ptCount val="5"/>
                <c:pt idx="0">
                  <c:v>(16,8)</c:v>
                </c:pt>
                <c:pt idx="1">
                  <c:v>(32,8)</c:v>
                </c:pt>
                <c:pt idx="2">
                  <c:v>(32,16)</c:v>
                </c:pt>
                <c:pt idx="3">
                  <c:v>(64,16)</c:v>
                </c:pt>
                <c:pt idx="4">
                  <c:v>(64,32)</c:v>
                </c:pt>
              </c:strCache>
            </c:strRef>
          </c:cat>
          <c:val>
            <c:numRef>
              <c:f>Sheet3!$I$17:$M$17</c:f>
              <c:numCache>
                <c:formatCode>General</c:formatCode>
                <c:ptCount val="5"/>
                <c:pt idx="0">
                  <c:v>0</c:v>
                </c:pt>
                <c:pt idx="1">
                  <c:v>1.0453267744202464</c:v>
                </c:pt>
                <c:pt idx="2">
                  <c:v>39.678496134926206</c:v>
                </c:pt>
                <c:pt idx="3">
                  <c:v>40.513000702740669</c:v>
                </c:pt>
                <c:pt idx="4">
                  <c:v>65.662333099086425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848448"/>
        <c:axId val="195867392"/>
      </c:barChart>
      <c:catAx>
        <c:axId val="195848448"/>
        <c:scaling>
          <c:orientation val="minMax"/>
        </c:scaling>
        <c:delete val="0"/>
        <c:axPos val="b"/>
        <c:majorTickMark val="out"/>
        <c:minorTickMark val="none"/>
        <c:tickLblPos val="nextTo"/>
        <c:crossAx val="195867392"/>
        <c:crosses val="autoZero"/>
        <c:auto val="1"/>
        <c:lblAlgn val="ctr"/>
        <c:lblOffset val="100"/>
        <c:noMultiLvlLbl val="0"/>
      </c:catAx>
      <c:valAx>
        <c:axId val="19586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8484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Sheet3!$O$3</c:f>
              <c:strCache>
                <c:ptCount val="1"/>
                <c:pt idx="0">
                  <c:v>Fibonacci</c:v>
                </c:pt>
              </c:strCache>
            </c:strRef>
          </c:tx>
          <c:invertIfNegative val="0"/>
          <c:cat>
            <c:strRef>
              <c:f>Sheet3!$P$2:$T$2</c:f>
              <c:strCache>
                <c:ptCount val="5"/>
                <c:pt idx="0">
                  <c:v>(16,8)</c:v>
                </c:pt>
                <c:pt idx="1">
                  <c:v>(32,8)</c:v>
                </c:pt>
                <c:pt idx="2">
                  <c:v>(32,16)</c:v>
                </c:pt>
                <c:pt idx="3">
                  <c:v>(64,16)</c:v>
                </c:pt>
                <c:pt idx="4">
                  <c:v>(64,32)</c:v>
                </c:pt>
              </c:strCache>
            </c:strRef>
          </c:cat>
          <c:val>
            <c:numRef>
              <c:f>Sheet3!$P$3:$T$3</c:f>
              <c:numCache>
                <c:formatCode>General</c:formatCode>
                <c:ptCount val="5"/>
                <c:pt idx="0">
                  <c:v>-0.37829766052762182</c:v>
                </c:pt>
                <c:pt idx="1">
                  <c:v>-1.0285769734607868</c:v>
                </c:pt>
                <c:pt idx="2">
                  <c:v>10.655696330321547</c:v>
                </c:pt>
                <c:pt idx="3">
                  <c:v>5.8194600400331922</c:v>
                </c:pt>
                <c:pt idx="4">
                  <c:v>5.4228472356000736</c:v>
                </c:pt>
              </c:numCache>
            </c:numRef>
          </c:val>
        </c:ser>
        <c:ser>
          <c:idx val="1"/>
          <c:order val="1"/>
          <c:tx>
            <c:strRef>
              <c:f>Sheet3!$O$4</c:f>
              <c:strCache>
                <c:ptCount val="1"/>
                <c:pt idx="0">
                  <c:v>Matmul</c:v>
                </c:pt>
              </c:strCache>
            </c:strRef>
          </c:tx>
          <c:invertIfNegative val="0"/>
          <c:cat>
            <c:strRef>
              <c:f>Sheet3!$P$2:$T$2</c:f>
              <c:strCache>
                <c:ptCount val="5"/>
                <c:pt idx="0">
                  <c:v>(16,8)</c:v>
                </c:pt>
                <c:pt idx="1">
                  <c:v>(32,8)</c:v>
                </c:pt>
                <c:pt idx="2">
                  <c:v>(32,16)</c:v>
                </c:pt>
                <c:pt idx="3">
                  <c:v>(64,16)</c:v>
                </c:pt>
                <c:pt idx="4">
                  <c:v>(64,32)</c:v>
                </c:pt>
              </c:strCache>
            </c:strRef>
          </c:cat>
          <c:val>
            <c:numRef>
              <c:f>Sheet3!$P$4:$T$4</c:f>
              <c:numCache>
                <c:formatCode>General</c:formatCode>
                <c:ptCount val="5"/>
                <c:pt idx="0">
                  <c:v>0</c:v>
                </c:pt>
                <c:pt idx="1">
                  <c:v>-4.4865180133513149E-3</c:v>
                </c:pt>
                <c:pt idx="2">
                  <c:v>0.11584968503366611</c:v>
                </c:pt>
                <c:pt idx="3">
                  <c:v>-2.971781569556498</c:v>
                </c:pt>
                <c:pt idx="4">
                  <c:v>5.0507742743676403</c:v>
                </c:pt>
              </c:numCache>
            </c:numRef>
          </c:val>
        </c:ser>
        <c:ser>
          <c:idx val="2"/>
          <c:order val="2"/>
          <c:tx>
            <c:strRef>
              <c:f>Sheet3!$O$5</c:f>
              <c:strCache>
                <c:ptCount val="1"/>
                <c:pt idx="0">
                  <c:v>Pi</c:v>
                </c:pt>
              </c:strCache>
            </c:strRef>
          </c:tx>
          <c:invertIfNegative val="0"/>
          <c:cat>
            <c:strRef>
              <c:f>Sheet3!$P$2:$T$2</c:f>
              <c:strCache>
                <c:ptCount val="5"/>
                <c:pt idx="0">
                  <c:v>(16,8)</c:v>
                </c:pt>
                <c:pt idx="1">
                  <c:v>(32,8)</c:v>
                </c:pt>
                <c:pt idx="2">
                  <c:v>(32,16)</c:v>
                </c:pt>
                <c:pt idx="3">
                  <c:v>(64,16)</c:v>
                </c:pt>
                <c:pt idx="4">
                  <c:v>(64,32)</c:v>
                </c:pt>
              </c:strCache>
            </c:strRef>
          </c:cat>
          <c:val>
            <c:numRef>
              <c:f>Sheet3!$P$5:$T$5</c:f>
              <c:numCache>
                <c:formatCode>General</c:formatCode>
                <c:ptCount val="5"/>
                <c:pt idx="0">
                  <c:v>7.1238095238095269</c:v>
                </c:pt>
                <c:pt idx="1">
                  <c:v>7.1984983575786146</c:v>
                </c:pt>
                <c:pt idx="2">
                  <c:v>10.463870177587282</c:v>
                </c:pt>
                <c:pt idx="3">
                  <c:v>7.6247165532879819</c:v>
                </c:pt>
                <c:pt idx="4">
                  <c:v>10.022705157314292</c:v>
                </c:pt>
              </c:numCache>
            </c:numRef>
          </c:val>
        </c:ser>
        <c:ser>
          <c:idx val="3"/>
          <c:order val="3"/>
          <c:tx>
            <c:strRef>
              <c:f>Sheet3!$O$6</c:f>
              <c:strCache>
                <c:ptCount val="1"/>
                <c:pt idx="0">
                  <c:v>Whetstone</c:v>
                </c:pt>
              </c:strCache>
            </c:strRef>
          </c:tx>
          <c:invertIfNegative val="0"/>
          <c:cat>
            <c:strRef>
              <c:f>Sheet3!$P$2:$T$2</c:f>
              <c:strCache>
                <c:ptCount val="5"/>
                <c:pt idx="0">
                  <c:v>(16,8)</c:v>
                </c:pt>
                <c:pt idx="1">
                  <c:v>(32,8)</c:v>
                </c:pt>
                <c:pt idx="2">
                  <c:v>(32,16)</c:v>
                </c:pt>
                <c:pt idx="3">
                  <c:v>(64,16)</c:v>
                </c:pt>
                <c:pt idx="4">
                  <c:v>(64,32)</c:v>
                </c:pt>
              </c:strCache>
            </c:strRef>
          </c:cat>
          <c:val>
            <c:numRef>
              <c:f>Sheet3!$P$6:$T$6</c:f>
              <c:numCache>
                <c:formatCode>General</c:formatCode>
                <c:ptCount val="5"/>
                <c:pt idx="0">
                  <c:v>19.687026754164563</c:v>
                </c:pt>
                <c:pt idx="1">
                  <c:v>35.651543964502395</c:v>
                </c:pt>
                <c:pt idx="2">
                  <c:v>37.545787545787533</c:v>
                </c:pt>
                <c:pt idx="3">
                  <c:v>64.234243377651495</c:v>
                </c:pt>
                <c:pt idx="4">
                  <c:v>71.813773035887522</c:v>
                </c:pt>
              </c:numCache>
            </c:numRef>
          </c:val>
        </c:ser>
        <c:ser>
          <c:idx val="4"/>
          <c:order val="4"/>
          <c:tx>
            <c:strRef>
              <c:f>Sheet3!$O$7</c:f>
              <c:strCache>
                <c:ptCount val="1"/>
                <c:pt idx="0">
                  <c:v>Memcopy</c:v>
                </c:pt>
              </c:strCache>
            </c:strRef>
          </c:tx>
          <c:invertIfNegative val="0"/>
          <c:cat>
            <c:strRef>
              <c:f>Sheet3!$P$2:$T$2</c:f>
              <c:strCache>
                <c:ptCount val="5"/>
                <c:pt idx="0">
                  <c:v>(16,8)</c:v>
                </c:pt>
                <c:pt idx="1">
                  <c:v>(32,8)</c:v>
                </c:pt>
                <c:pt idx="2">
                  <c:v>(32,16)</c:v>
                </c:pt>
                <c:pt idx="3">
                  <c:v>(64,16)</c:v>
                </c:pt>
                <c:pt idx="4">
                  <c:v>(64,32)</c:v>
                </c:pt>
              </c:strCache>
            </c:strRef>
          </c:cat>
          <c:val>
            <c:numRef>
              <c:f>Sheet3!$P$7:$T$7</c:f>
              <c:numCache>
                <c:formatCode>General</c:formatCode>
                <c:ptCount val="5"/>
                <c:pt idx="0">
                  <c:v>-5.4485049833886876</c:v>
                </c:pt>
                <c:pt idx="1">
                  <c:v>-5.5039842273884858</c:v>
                </c:pt>
                <c:pt idx="2">
                  <c:v>0</c:v>
                </c:pt>
                <c:pt idx="3">
                  <c:v>6.2519537355427701E-3</c:v>
                </c:pt>
                <c:pt idx="4">
                  <c:v>5.3027892671622112E-3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78624"/>
        <c:axId val="81182080"/>
      </c:barChart>
      <c:catAx>
        <c:axId val="81178624"/>
        <c:scaling>
          <c:orientation val="minMax"/>
        </c:scaling>
        <c:delete val="0"/>
        <c:axPos val="b"/>
        <c:majorTickMark val="out"/>
        <c:minorTickMark val="none"/>
        <c:tickLblPos val="nextTo"/>
        <c:crossAx val="81182080"/>
        <c:crosses val="autoZero"/>
        <c:auto val="1"/>
        <c:lblAlgn val="ctr"/>
        <c:lblOffset val="100"/>
        <c:noMultiLvlLbl val="0"/>
      </c:catAx>
      <c:valAx>
        <c:axId val="81182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11786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717550</xdr:colOff>
      <xdr:row>6</xdr:row>
      <xdr:rowOff>161925</xdr:rowOff>
    </xdr:from>
    <xdr:to>
      <xdr:col>20</xdr:col>
      <xdr:colOff>527050</xdr:colOff>
      <xdr:row>39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828675</xdr:colOff>
      <xdr:row>41</xdr:row>
      <xdr:rowOff>19050</xdr:rowOff>
    </xdr:from>
    <xdr:to>
      <xdr:col>11</xdr:col>
      <xdr:colOff>371475</xdr:colOff>
      <xdr:row>54</xdr:row>
      <xdr:rowOff>161925</xdr:rowOff>
    </xdr:to>
    <xdr:graphicFrame macro="">
      <xdr:nvGraphicFramePr>
        <xdr:cNvPr id="2" name="Performance Improvment percen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0.36506</cdr:x>
      <cdr:y>0.88904</cdr:y>
    </cdr:from>
    <cdr:to>
      <cdr:x>0.68193</cdr:x>
      <cdr:y>0.94473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848100" y="5126009"/>
          <a:ext cx="3340100" cy="3211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2000" b="1" i="0" cap="all" baseline="0"/>
            <a:t>Benchmarks</a:t>
          </a:r>
        </a:p>
      </cdr:txBody>
    </cdr:sp>
  </cdr:relSizeAnchor>
  <cdr:relSizeAnchor xmlns:cdr="http://schemas.openxmlformats.org/drawingml/2006/chartDrawing">
    <cdr:from>
      <cdr:x>0</cdr:x>
      <cdr:y>0.01762</cdr:y>
    </cdr:from>
    <cdr:to>
      <cdr:x>0.03047</cdr:x>
      <cdr:y>0.59692</cdr:y>
    </cdr:to>
    <cdr:sp macro="" textlink="">
      <cdr:nvSpPr>
        <cdr:cNvPr id="3" name="TextBox 2"/>
        <cdr:cNvSpPr txBox="1"/>
      </cdr:nvSpPr>
      <cdr:spPr>
        <a:xfrm xmlns:a="http://schemas.openxmlformats.org/drawingml/2006/main" rot="16200000">
          <a:off x="-1509483" y="1611083"/>
          <a:ext cx="3340100" cy="3211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 i="0" cap="all" baseline="0"/>
            <a:t>IPC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374649</xdr:colOff>
      <xdr:row>16</xdr:row>
      <xdr:rowOff>174625</xdr:rowOff>
    </xdr:from>
    <xdr:to>
      <xdr:col>15</xdr:col>
      <xdr:colOff>676274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120650</xdr:rowOff>
    </xdr:from>
    <xdr:to>
      <xdr:col>7</xdr:col>
      <xdr:colOff>742950</xdr:colOff>
      <xdr:row>37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52</xdr:row>
      <xdr:rowOff>9525</xdr:rowOff>
    </xdr:from>
    <xdr:to>
      <xdr:col>5</xdr:col>
      <xdr:colOff>381000</xdr:colOff>
      <xdr:row>65</xdr:row>
      <xdr:rowOff>152400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57150</xdr:colOff>
      <xdr:row>52</xdr:row>
      <xdr:rowOff>19050</xdr:rowOff>
    </xdr:from>
    <xdr:to>
      <xdr:col>11</xdr:col>
      <xdr:colOff>438150</xdr:colOff>
      <xdr:row>65</xdr:row>
      <xdr:rowOff>161925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152400</xdr:colOff>
      <xdr:row>69</xdr:row>
      <xdr:rowOff>38100</xdr:rowOff>
    </xdr:from>
    <xdr:to>
      <xdr:col>8</xdr:col>
      <xdr:colOff>533400</xdr:colOff>
      <xdr:row>82</xdr:row>
      <xdr:rowOff>180975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0.21201</cdr:x>
      <cdr:y>0.885</cdr:y>
    </cdr:from>
    <cdr:to>
      <cdr:x>0.66861</cdr:x>
      <cdr:y>0.95765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62000" y="3450532"/>
          <a:ext cx="1641056" cy="28326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 i="0" cap="all" baseline="0"/>
            <a:t>Benchmarks</a:t>
          </a:r>
        </a:p>
      </cdr:txBody>
    </cdr:sp>
  </cdr:relSizeAnchor>
  <cdr:relSizeAnchor xmlns:cdr="http://schemas.openxmlformats.org/drawingml/2006/chartDrawing">
    <cdr:from>
      <cdr:x>0</cdr:x>
      <cdr:y>0.31683</cdr:y>
    </cdr:from>
    <cdr:to>
      <cdr:x>0.0439</cdr:x>
      <cdr:y>0.51557</cdr:y>
    </cdr:to>
    <cdr:sp macro="" textlink="">
      <cdr:nvSpPr>
        <cdr:cNvPr id="3" name="TextBox 2"/>
        <cdr:cNvSpPr txBox="1"/>
      </cdr:nvSpPr>
      <cdr:spPr>
        <a:xfrm xmlns:a="http://schemas.openxmlformats.org/drawingml/2006/main" rot="16200000">
          <a:off x="-323619" y="1949219"/>
          <a:ext cx="1019664" cy="3724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 i="0" cap="all" baseline="0"/>
            <a:t>IPC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0.41935</cdr:x>
      <cdr:y>0.90065</cdr:y>
    </cdr:from>
    <cdr:to>
      <cdr:x>0.60058</cdr:x>
      <cdr:y>0.93952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797300" y="5295899"/>
          <a:ext cx="1641056" cy="2286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 i="0" cap="all" baseline="0"/>
            <a:t>Benchmarks</a:t>
          </a:r>
        </a:p>
      </cdr:txBody>
    </cdr:sp>
  </cdr:relSizeAnchor>
  <cdr:relSizeAnchor xmlns:cdr="http://schemas.openxmlformats.org/drawingml/2006/chartDrawing">
    <cdr:from>
      <cdr:x>0</cdr:x>
      <cdr:y>0.41685</cdr:y>
    </cdr:from>
    <cdr:to>
      <cdr:x>0.01742</cdr:x>
      <cdr:y>0.54862</cdr:y>
    </cdr:to>
    <cdr:sp macro="" textlink="">
      <cdr:nvSpPr>
        <cdr:cNvPr id="3" name="TextBox 2"/>
        <cdr:cNvSpPr txBox="1"/>
      </cdr:nvSpPr>
      <cdr:spPr>
        <a:xfrm xmlns:a="http://schemas.openxmlformats.org/drawingml/2006/main" rot="16200000">
          <a:off x="-303775" y="2754875"/>
          <a:ext cx="774844" cy="1672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 i="0" cap="all" baseline="0"/>
            <a:t>IPC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19</xdr:row>
      <xdr:rowOff>184150</xdr:rowOff>
    </xdr:from>
    <xdr:to>
      <xdr:col>12</xdr:col>
      <xdr:colOff>546100</xdr:colOff>
      <xdr:row>40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19</xdr:row>
      <xdr:rowOff>174625</xdr:rowOff>
    </xdr:from>
    <xdr:to>
      <xdr:col>6</xdr:col>
      <xdr:colOff>371475</xdr:colOff>
      <xdr:row>40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46</xdr:row>
      <xdr:rowOff>161925</xdr:rowOff>
    </xdr:from>
    <xdr:to>
      <xdr:col>5</xdr:col>
      <xdr:colOff>419100</xdr:colOff>
      <xdr:row>60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47625</xdr:colOff>
      <xdr:row>47</xdr:row>
      <xdr:rowOff>0</xdr:rowOff>
    </xdr:from>
    <xdr:to>
      <xdr:col>11</xdr:col>
      <xdr:colOff>428625</xdr:colOff>
      <xdr:row>60</xdr:row>
      <xdr:rowOff>142875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66675</xdr:colOff>
      <xdr:row>62</xdr:row>
      <xdr:rowOff>19050</xdr:rowOff>
    </xdr:from>
    <xdr:to>
      <xdr:col>8</xdr:col>
      <xdr:colOff>447675</xdr:colOff>
      <xdr:row>75</xdr:row>
      <xdr:rowOff>161925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0.3272</cdr:x>
      <cdr:y>0.8972</cdr:y>
    </cdr:from>
    <cdr:to>
      <cdr:x>0.69972</cdr:x>
      <cdr:y>0.96577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933700" y="4876800"/>
          <a:ext cx="3340127" cy="37272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 i="0" cap="all" baseline="0"/>
            <a:t>Benchmarks</a:t>
          </a:r>
        </a:p>
      </cdr:txBody>
    </cdr:sp>
  </cdr:relSizeAnchor>
  <cdr:relSizeAnchor xmlns:cdr="http://schemas.openxmlformats.org/drawingml/2006/chartDrawing">
    <cdr:from>
      <cdr:x>0</cdr:x>
      <cdr:y>0.42056</cdr:y>
    </cdr:from>
    <cdr:to>
      <cdr:x>0.0206</cdr:x>
      <cdr:y>0.58712</cdr:y>
    </cdr:to>
    <cdr:sp macro="" textlink="">
      <cdr:nvSpPr>
        <cdr:cNvPr id="3" name="TextBox 2"/>
        <cdr:cNvSpPr txBox="1"/>
      </cdr:nvSpPr>
      <cdr:spPr>
        <a:xfrm xmlns:a="http://schemas.openxmlformats.org/drawingml/2006/main" rot="16200000">
          <a:off x="-360311" y="2646311"/>
          <a:ext cx="905352" cy="1847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 i="0" cap="all" baseline="0"/>
            <a:t>IPC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0.42179</cdr:y>
    </cdr:from>
    <cdr:to>
      <cdr:x>0.00942</cdr:x>
      <cdr:y>0.62091</cdr:y>
    </cdr:to>
    <cdr:sp macro="" textlink="">
      <cdr:nvSpPr>
        <cdr:cNvPr id="2" name="TextBox 1"/>
        <cdr:cNvSpPr txBox="1"/>
      </cdr:nvSpPr>
      <cdr:spPr>
        <a:xfrm xmlns:a="http://schemas.openxmlformats.org/drawingml/2006/main" rot="16200000">
          <a:off x="-407671" y="2325371"/>
          <a:ext cx="905352" cy="900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 i="0" cap="all" baseline="0"/>
            <a:t>IPC</a:t>
          </a:r>
        </a:p>
      </cdr:txBody>
    </cdr:sp>
  </cdr:relSizeAnchor>
  <cdr:relSizeAnchor xmlns:cdr="http://schemas.openxmlformats.org/drawingml/2006/chartDrawing">
    <cdr:from>
      <cdr:x>0.33644</cdr:x>
      <cdr:y>0.87151</cdr:y>
    </cdr:from>
    <cdr:to>
      <cdr:x>0.50685</cdr:x>
      <cdr:y>0.95349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213100" y="3962400"/>
          <a:ext cx="1627484" cy="37272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 i="0" cap="all" baseline="0"/>
            <a:t>Benchmarks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"/>
  <sheetViews>
    <sheetView tabSelected="1" showRuler="0" workbookViewId="0">
      <selection activeCell="A5" sqref="A5"/>
    </sheetView>
  </sheetViews>
  <sheetFormatPr defaultColWidth="11" defaultRowHeight="15.75" x14ac:dyDescent="0.25"/>
  <sheetData>
    <row r="1" spans="1:18" x14ac:dyDescent="0.25">
      <c r="A1" t="s">
        <v>0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N1" t="s">
        <v>6</v>
      </c>
      <c r="O1" t="s">
        <v>7</v>
      </c>
      <c r="P1" t="s">
        <v>8</v>
      </c>
      <c r="Q1" t="s">
        <v>9</v>
      </c>
      <c r="R1" t="s">
        <v>10</v>
      </c>
    </row>
    <row r="2" spans="1:18" x14ac:dyDescent="0.25">
      <c r="A2" t="s">
        <v>1</v>
      </c>
      <c r="B2">
        <v>0.44669999999999999</v>
      </c>
      <c r="C2">
        <v>0.60940000000000005</v>
      </c>
      <c r="D2">
        <v>0.65290000000000004</v>
      </c>
      <c r="E2">
        <v>0.65039999999999998</v>
      </c>
      <c r="F2">
        <v>0.70020000000000004</v>
      </c>
      <c r="H2">
        <f>(C2/B2*100)-100</f>
        <v>36.422655025744348</v>
      </c>
      <c r="I2">
        <f t="shared" ref="I2:K6" si="0">(D2/C2*100)-100</f>
        <v>7.1381686905152719</v>
      </c>
      <c r="J2">
        <f t="shared" si="0"/>
        <v>-0.38290703017308658</v>
      </c>
      <c r="K2">
        <f t="shared" si="0"/>
        <v>7.6568265682657</v>
      </c>
      <c r="M2" t="s">
        <v>1</v>
      </c>
      <c r="N2">
        <f>(B2/$B2*100)-100</f>
        <v>0</v>
      </c>
      <c r="O2">
        <f>(C2/$B2*100)-100</f>
        <v>36.422655025744348</v>
      </c>
      <c r="P2">
        <f>(D2/$B2*100)-100</f>
        <v>46.160734273561701</v>
      </c>
      <c r="Q2">
        <f>(E2/$B2*100)-100</f>
        <v>45.601074546675619</v>
      </c>
      <c r="R2">
        <f>(F2/$B2*100)-100</f>
        <v>56.749496306245817</v>
      </c>
    </row>
    <row r="3" spans="1:18" x14ac:dyDescent="0.25">
      <c r="A3" t="s">
        <v>2</v>
      </c>
      <c r="B3">
        <v>0.622</v>
      </c>
      <c r="C3">
        <v>0.72389999999999999</v>
      </c>
      <c r="D3">
        <v>0.72389999999999999</v>
      </c>
      <c r="E3">
        <v>0.72389999999999999</v>
      </c>
      <c r="F3">
        <v>0.7258</v>
      </c>
      <c r="H3">
        <f t="shared" ref="H3:H6" si="1">(C3/B3*100)-100</f>
        <v>16.382636655948545</v>
      </c>
      <c r="I3">
        <f t="shared" si="0"/>
        <v>0</v>
      </c>
      <c r="J3">
        <f t="shared" si="0"/>
        <v>0</v>
      </c>
      <c r="K3">
        <f t="shared" si="0"/>
        <v>0.26246719160106124</v>
      </c>
      <c r="M3" t="s">
        <v>2</v>
      </c>
      <c r="N3">
        <f t="shared" ref="N3:N6" si="2">(B3/$B3*100)-100</f>
        <v>0</v>
      </c>
      <c r="O3">
        <f t="shared" ref="O3:O6" si="3">(C3/$B3*100)-100</f>
        <v>16.382636655948545</v>
      </c>
      <c r="P3">
        <f t="shared" ref="P3:P6" si="4">(D3/$B3*100)-100</f>
        <v>16.382636655948545</v>
      </c>
      <c r="Q3">
        <f t="shared" ref="Q3:Q6" si="5">(E3/$B3*100)-100</f>
        <v>16.382636655948545</v>
      </c>
      <c r="R3">
        <f t="shared" ref="R3:R6" si="6">(F3/$B3*100)-100</f>
        <v>16.688102893890672</v>
      </c>
    </row>
    <row r="4" spans="1:18" x14ac:dyDescent="0.25">
      <c r="A4" t="s">
        <v>3</v>
      </c>
      <c r="B4">
        <v>0.49780000000000002</v>
      </c>
      <c r="C4">
        <v>0.55059999999999998</v>
      </c>
      <c r="D4">
        <v>0.55049999999999999</v>
      </c>
      <c r="E4">
        <v>0.55069999999999997</v>
      </c>
      <c r="F4">
        <v>0.55510000000000004</v>
      </c>
      <c r="H4">
        <f t="shared" si="1"/>
        <v>10.606669345118519</v>
      </c>
      <c r="I4">
        <f t="shared" si="0"/>
        <v>-1.8162005085358146E-2</v>
      </c>
      <c r="J4">
        <f t="shared" si="0"/>
        <v>3.6330608537696207E-2</v>
      </c>
      <c r="K4">
        <f t="shared" si="0"/>
        <v>0.79898311240241071</v>
      </c>
      <c r="M4" t="s">
        <v>3</v>
      </c>
      <c r="N4">
        <f t="shared" si="2"/>
        <v>0</v>
      </c>
      <c r="O4">
        <f t="shared" si="3"/>
        <v>10.606669345118519</v>
      </c>
      <c r="P4">
        <f t="shared" si="4"/>
        <v>10.5865809562073</v>
      </c>
      <c r="Q4">
        <f t="shared" si="5"/>
        <v>10.626757734029724</v>
      </c>
      <c r="R4">
        <f t="shared" si="6"/>
        <v>11.510646846122953</v>
      </c>
    </row>
    <row r="5" spans="1:18" x14ac:dyDescent="0.25">
      <c r="A5" t="s">
        <v>4</v>
      </c>
      <c r="B5">
        <v>0.4456</v>
      </c>
      <c r="C5">
        <v>0.58730000000000004</v>
      </c>
      <c r="D5">
        <v>0.58919999999999995</v>
      </c>
      <c r="E5">
        <v>0.5927</v>
      </c>
      <c r="F5">
        <v>0.60740000000000005</v>
      </c>
      <c r="H5">
        <f t="shared" si="1"/>
        <v>31.799820466786372</v>
      </c>
      <c r="I5">
        <f t="shared" si="0"/>
        <v>0.32351438787669906</v>
      </c>
      <c r="J5">
        <f t="shared" si="0"/>
        <v>0.59402579769178487</v>
      </c>
      <c r="K5">
        <f t="shared" si="0"/>
        <v>2.4801754681963928</v>
      </c>
      <c r="M5" t="s">
        <v>4</v>
      </c>
      <c r="N5">
        <f t="shared" si="2"/>
        <v>0</v>
      </c>
      <c r="O5">
        <f t="shared" si="3"/>
        <v>31.799820466786372</v>
      </c>
      <c r="P5">
        <f t="shared" si="4"/>
        <v>32.226211849192111</v>
      </c>
      <c r="Q5">
        <f t="shared" si="5"/>
        <v>33.011669658886888</v>
      </c>
      <c r="R5">
        <f t="shared" si="6"/>
        <v>36.310592459605033</v>
      </c>
    </row>
    <row r="6" spans="1:18" x14ac:dyDescent="0.25">
      <c r="A6" t="s">
        <v>5</v>
      </c>
      <c r="B6">
        <v>0.45290000000000002</v>
      </c>
      <c r="C6">
        <v>0.50849999999999995</v>
      </c>
      <c r="D6">
        <v>0.50849999999999995</v>
      </c>
      <c r="E6">
        <v>0.50849999999999995</v>
      </c>
      <c r="F6">
        <v>0.50860000000000005</v>
      </c>
      <c r="H6">
        <f t="shared" si="1"/>
        <v>12.276440715389697</v>
      </c>
      <c r="I6">
        <f t="shared" si="0"/>
        <v>0</v>
      </c>
      <c r="J6">
        <f t="shared" si="0"/>
        <v>0</v>
      </c>
      <c r="K6">
        <f t="shared" si="0"/>
        <v>1.9665683382513066E-2</v>
      </c>
      <c r="M6" t="s">
        <v>5</v>
      </c>
      <c r="N6">
        <f t="shared" si="2"/>
        <v>0</v>
      </c>
      <c r="O6">
        <f t="shared" si="3"/>
        <v>12.276440715389697</v>
      </c>
      <c r="P6">
        <f t="shared" si="4"/>
        <v>12.276440715389697</v>
      </c>
      <c r="Q6">
        <f t="shared" si="5"/>
        <v>12.276440715389697</v>
      </c>
      <c r="R6">
        <f t="shared" si="6"/>
        <v>12.298520644733941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5"/>
  <sheetViews>
    <sheetView showRuler="0" topLeftCell="A18" workbookViewId="0">
      <selection activeCell="L45" sqref="L45"/>
    </sheetView>
  </sheetViews>
  <sheetFormatPr defaultColWidth="11" defaultRowHeight="15.75" x14ac:dyDescent="0.25"/>
  <sheetData>
    <row r="1" spans="1:22" x14ac:dyDescent="0.25">
      <c r="F1" t="s">
        <v>11</v>
      </c>
      <c r="N1" t="s">
        <v>11</v>
      </c>
    </row>
    <row r="2" spans="1:22" x14ac:dyDescent="0.25">
      <c r="B2">
        <v>1</v>
      </c>
      <c r="C2">
        <v>2</v>
      </c>
      <c r="D2">
        <v>4</v>
      </c>
      <c r="E2">
        <v>8</v>
      </c>
      <c r="F2" t="s">
        <v>13</v>
      </c>
      <c r="J2">
        <v>1</v>
      </c>
      <c r="K2">
        <v>2</v>
      </c>
      <c r="L2">
        <v>4</v>
      </c>
      <c r="M2">
        <v>8</v>
      </c>
      <c r="N2" t="s">
        <v>13</v>
      </c>
      <c r="R2">
        <v>1</v>
      </c>
      <c r="S2">
        <v>2</v>
      </c>
      <c r="T2">
        <v>4</v>
      </c>
      <c r="U2">
        <v>8</v>
      </c>
      <c r="V2" t="s">
        <v>13</v>
      </c>
    </row>
    <row r="3" spans="1:22" x14ac:dyDescent="0.25">
      <c r="A3" t="s">
        <v>12</v>
      </c>
      <c r="B3">
        <v>0.65290000000000004</v>
      </c>
      <c r="C3">
        <v>0.7137</v>
      </c>
      <c r="D3">
        <v>0.74670000000000003</v>
      </c>
      <c r="E3">
        <v>0.74680000000000002</v>
      </c>
      <c r="F3">
        <v>0.74680000000000002</v>
      </c>
      <c r="I3" t="s">
        <v>12</v>
      </c>
      <c r="J3">
        <f>(B3/$B3*100)-100</f>
        <v>0</v>
      </c>
      <c r="K3">
        <f t="shared" ref="K3:N7" si="0">(C3/$B3*100)-100</f>
        <v>9.3122989738091633</v>
      </c>
      <c r="L3">
        <f t="shared" si="0"/>
        <v>14.366671772093738</v>
      </c>
      <c r="M3">
        <f t="shared" si="0"/>
        <v>14.38198805330066</v>
      </c>
      <c r="N3">
        <f t="shared" si="0"/>
        <v>14.38198805330066</v>
      </c>
      <c r="Q3" t="s">
        <v>12</v>
      </c>
      <c r="R3">
        <f>(B11/B3*100)-100</f>
        <v>3.7218563332822754</v>
      </c>
      <c r="S3">
        <f t="shared" ref="S3:V7" si="1">(C11/C3*100)-100</f>
        <v>76.376628835645221</v>
      </c>
      <c r="T3">
        <f t="shared" si="1"/>
        <v>153.78331324494442</v>
      </c>
      <c r="U3">
        <f t="shared" si="1"/>
        <v>167.99678628816281</v>
      </c>
      <c r="V3">
        <f t="shared" si="1"/>
        <v>169.13497589716121</v>
      </c>
    </row>
    <row r="4" spans="1:22" x14ac:dyDescent="0.25">
      <c r="A4" t="s">
        <v>2</v>
      </c>
      <c r="B4">
        <v>0.72389999999999999</v>
      </c>
      <c r="C4">
        <v>0.73650000000000004</v>
      </c>
      <c r="D4">
        <v>0.73680000000000001</v>
      </c>
      <c r="E4">
        <v>0.7369</v>
      </c>
      <c r="F4">
        <v>0.7369</v>
      </c>
      <c r="I4" t="s">
        <v>2</v>
      </c>
      <c r="J4">
        <f t="shared" ref="J4:J7" si="2">(B4/$B4*100)-100</f>
        <v>0</v>
      </c>
      <c r="K4">
        <f t="shared" si="0"/>
        <v>1.7405719021964501</v>
      </c>
      <c r="L4">
        <f t="shared" si="0"/>
        <v>1.7820140903439778</v>
      </c>
      <c r="M4">
        <f t="shared" si="0"/>
        <v>1.7958281530598015</v>
      </c>
      <c r="N4">
        <f t="shared" si="0"/>
        <v>1.7958281530598015</v>
      </c>
      <c r="Q4" t="s">
        <v>2</v>
      </c>
      <c r="R4">
        <f t="shared" ref="R4:R7" si="3">(B12/B4*100)-100</f>
        <v>3.2463047382235146</v>
      </c>
      <c r="S4">
        <f t="shared" si="1"/>
        <v>101.62932790224031</v>
      </c>
      <c r="T4">
        <f t="shared" si="1"/>
        <v>174.02280130293161</v>
      </c>
      <c r="U4">
        <f t="shared" si="1"/>
        <v>186.37535622201113</v>
      </c>
      <c r="V4">
        <f t="shared" si="1"/>
        <v>186.37535622201113</v>
      </c>
    </row>
    <row r="5" spans="1:22" x14ac:dyDescent="0.25">
      <c r="A5" t="s">
        <v>3</v>
      </c>
      <c r="B5">
        <v>0.55049999999999999</v>
      </c>
      <c r="C5">
        <v>0.56989999999999996</v>
      </c>
      <c r="D5">
        <v>0.57469999999999999</v>
      </c>
      <c r="E5">
        <v>0.57540000000000002</v>
      </c>
      <c r="F5">
        <v>0.57530000000000003</v>
      </c>
      <c r="I5" t="s">
        <v>3</v>
      </c>
      <c r="J5">
        <f t="shared" si="2"/>
        <v>0</v>
      </c>
      <c r="K5">
        <f t="shared" si="0"/>
        <v>3.5240690281562053</v>
      </c>
      <c r="L5">
        <f t="shared" si="0"/>
        <v>4.3960036330608574</v>
      </c>
      <c r="M5">
        <f t="shared" si="0"/>
        <v>4.5231607629427941</v>
      </c>
      <c r="N5">
        <f t="shared" si="0"/>
        <v>4.5049954586739318</v>
      </c>
      <c r="Q5" t="s">
        <v>3</v>
      </c>
      <c r="R5">
        <f t="shared" si="3"/>
        <v>19.436875567665751</v>
      </c>
      <c r="S5">
        <f t="shared" si="1"/>
        <v>79.97894367432886</v>
      </c>
      <c r="T5">
        <f t="shared" si="1"/>
        <v>92.674438837654435</v>
      </c>
      <c r="U5">
        <f t="shared" si="1"/>
        <v>95.48140424052832</v>
      </c>
      <c r="V5">
        <f t="shared" si="1"/>
        <v>82.513471232400491</v>
      </c>
    </row>
    <row r="6" spans="1:22" x14ac:dyDescent="0.25">
      <c r="A6" t="s">
        <v>4</v>
      </c>
      <c r="B6">
        <v>0.58919999999999995</v>
      </c>
      <c r="C6">
        <v>0.71630000000000005</v>
      </c>
      <c r="D6">
        <v>0.73529999999999995</v>
      </c>
      <c r="E6">
        <v>0.73670000000000002</v>
      </c>
      <c r="F6">
        <v>0.7127</v>
      </c>
      <c r="I6" t="s">
        <v>4</v>
      </c>
      <c r="J6">
        <f t="shared" si="2"/>
        <v>0</v>
      </c>
      <c r="K6">
        <f t="shared" si="0"/>
        <v>21.571622539035999</v>
      </c>
      <c r="L6">
        <f t="shared" si="0"/>
        <v>24.796334012219972</v>
      </c>
      <c r="M6">
        <f t="shared" si="0"/>
        <v>25.033944331296681</v>
      </c>
      <c r="N6">
        <f t="shared" si="0"/>
        <v>20.960624575695874</v>
      </c>
      <c r="Q6" t="s">
        <v>4</v>
      </c>
      <c r="R6">
        <f t="shared" si="3"/>
        <v>6.2118126272912519</v>
      </c>
      <c r="S6">
        <f t="shared" si="1"/>
        <v>57.545721066592222</v>
      </c>
      <c r="T6">
        <f t="shared" si="1"/>
        <v>88.861689106487177</v>
      </c>
      <c r="U6">
        <f t="shared" si="1"/>
        <v>93.058232659155692</v>
      </c>
      <c r="V6">
        <f t="shared" si="1"/>
        <v>66.77423881015855</v>
      </c>
    </row>
    <row r="7" spans="1:22" x14ac:dyDescent="0.25">
      <c r="A7" t="s">
        <v>5</v>
      </c>
      <c r="B7">
        <v>0.50849999999999995</v>
      </c>
      <c r="C7">
        <v>0.53480000000000005</v>
      </c>
      <c r="D7">
        <v>0.56369999999999998</v>
      </c>
      <c r="E7">
        <v>0.56369999999999998</v>
      </c>
      <c r="F7">
        <v>0.56369999999999998</v>
      </c>
      <c r="I7" t="s">
        <v>5</v>
      </c>
      <c r="J7">
        <f t="shared" si="2"/>
        <v>0</v>
      </c>
      <c r="K7">
        <f t="shared" si="0"/>
        <v>5.1720747295968579</v>
      </c>
      <c r="L7">
        <f t="shared" si="0"/>
        <v>10.855457227138658</v>
      </c>
      <c r="M7">
        <f t="shared" si="0"/>
        <v>10.855457227138658</v>
      </c>
      <c r="N7">
        <f t="shared" si="0"/>
        <v>10.855457227138658</v>
      </c>
      <c r="Q7" t="s">
        <v>5</v>
      </c>
      <c r="R7">
        <f t="shared" si="3"/>
        <v>2.5762045231071795</v>
      </c>
      <c r="S7">
        <f t="shared" si="1"/>
        <v>66.492146596858618</v>
      </c>
      <c r="T7">
        <f t="shared" si="1"/>
        <v>113.50008869966297</v>
      </c>
      <c r="U7">
        <f t="shared" si="1"/>
        <v>102.02235231506123</v>
      </c>
      <c r="V7">
        <f t="shared" si="1"/>
        <v>113.58878836260425</v>
      </c>
    </row>
    <row r="9" spans="1:22" x14ac:dyDescent="0.25">
      <c r="E9" t="s">
        <v>14</v>
      </c>
      <c r="M9" t="s">
        <v>14</v>
      </c>
    </row>
    <row r="10" spans="1:22" x14ac:dyDescent="0.25">
      <c r="B10">
        <v>1</v>
      </c>
      <c r="C10">
        <v>2</v>
      </c>
      <c r="D10">
        <v>4</v>
      </c>
      <c r="E10">
        <v>8</v>
      </c>
      <c r="F10" t="s">
        <v>13</v>
      </c>
      <c r="J10">
        <v>1</v>
      </c>
      <c r="K10">
        <v>2</v>
      </c>
      <c r="L10">
        <v>4</v>
      </c>
      <c r="M10">
        <v>8</v>
      </c>
      <c r="N10" t="s">
        <v>13</v>
      </c>
    </row>
    <row r="11" spans="1:22" x14ac:dyDescent="0.25">
      <c r="A11" t="s">
        <v>12</v>
      </c>
      <c r="B11">
        <v>0.67720000000000002</v>
      </c>
      <c r="C11">
        <v>1.2587999999999999</v>
      </c>
      <c r="D11">
        <v>1.895</v>
      </c>
      <c r="E11">
        <v>2.0013999999999998</v>
      </c>
      <c r="F11">
        <v>2.0099</v>
      </c>
      <c r="I11" t="s">
        <v>12</v>
      </c>
      <c r="J11">
        <f>(B11/$B11*100)-100</f>
        <v>0</v>
      </c>
      <c r="K11">
        <f t="shared" ref="K11:N15" si="4">(C11/$B11*100)-100</f>
        <v>85.883047844063782</v>
      </c>
      <c r="L11">
        <f t="shared" si="4"/>
        <v>179.82870643827528</v>
      </c>
      <c r="M11">
        <f t="shared" si="4"/>
        <v>195.54046072061425</v>
      </c>
      <c r="N11">
        <f t="shared" si="4"/>
        <v>196.79562906083873</v>
      </c>
    </row>
    <row r="12" spans="1:22" x14ac:dyDescent="0.25">
      <c r="A12" t="s">
        <v>2</v>
      </c>
      <c r="B12">
        <v>0.74739999999999995</v>
      </c>
      <c r="C12">
        <v>1.4850000000000001</v>
      </c>
      <c r="D12">
        <v>2.0190000000000001</v>
      </c>
      <c r="E12">
        <v>2.1103000000000001</v>
      </c>
      <c r="F12">
        <v>2.1103000000000001</v>
      </c>
      <c r="I12" t="s">
        <v>2</v>
      </c>
      <c r="J12">
        <f t="shared" ref="J12:J15" si="5">(B12/$B12*100)-100</f>
        <v>0</v>
      </c>
      <c r="K12">
        <f t="shared" si="4"/>
        <v>98.688787797698723</v>
      </c>
      <c r="L12">
        <f t="shared" si="4"/>
        <v>170.13647310677015</v>
      </c>
      <c r="M12">
        <f t="shared" si="4"/>
        <v>182.35215413433241</v>
      </c>
      <c r="N12">
        <f t="shared" si="4"/>
        <v>182.35215413433241</v>
      </c>
    </row>
    <row r="13" spans="1:22" x14ac:dyDescent="0.25">
      <c r="A13" t="s">
        <v>3</v>
      </c>
      <c r="B13">
        <v>0.65749999999999997</v>
      </c>
      <c r="C13">
        <v>1.0257000000000001</v>
      </c>
      <c r="D13">
        <v>1.1073</v>
      </c>
      <c r="E13">
        <v>1.1248</v>
      </c>
      <c r="F13">
        <v>1.05</v>
      </c>
      <c r="I13" t="s">
        <v>3</v>
      </c>
      <c r="J13">
        <f t="shared" si="5"/>
        <v>0</v>
      </c>
      <c r="K13">
        <f t="shared" si="4"/>
        <v>56</v>
      </c>
      <c r="L13">
        <f t="shared" si="4"/>
        <v>68.410646387832685</v>
      </c>
      <c r="M13">
        <f t="shared" si="4"/>
        <v>71.07224334600761</v>
      </c>
      <c r="N13">
        <f t="shared" si="4"/>
        <v>59.695817490494306</v>
      </c>
    </row>
    <row r="14" spans="1:22" x14ac:dyDescent="0.25">
      <c r="A14" t="s">
        <v>4</v>
      </c>
      <c r="B14">
        <v>0.62580000000000002</v>
      </c>
      <c r="C14">
        <v>1.1285000000000001</v>
      </c>
      <c r="D14">
        <v>1.3887</v>
      </c>
      <c r="E14">
        <v>1.4222600000000001</v>
      </c>
      <c r="F14">
        <v>1.1886000000000001</v>
      </c>
      <c r="I14" t="s">
        <v>4</v>
      </c>
      <c r="J14">
        <f t="shared" si="5"/>
        <v>0</v>
      </c>
      <c r="K14">
        <f t="shared" si="4"/>
        <v>80.329178651326316</v>
      </c>
      <c r="L14">
        <f t="shared" si="4"/>
        <v>121.90795781399811</v>
      </c>
      <c r="M14">
        <f t="shared" si="4"/>
        <v>127.27069351230423</v>
      </c>
      <c r="N14">
        <f t="shared" si="4"/>
        <v>89.932885906040269</v>
      </c>
    </row>
    <row r="15" spans="1:22" x14ac:dyDescent="0.25">
      <c r="A15" t="s">
        <v>5</v>
      </c>
      <c r="B15">
        <v>0.52159999999999995</v>
      </c>
      <c r="C15">
        <v>0.89039999999999997</v>
      </c>
      <c r="D15">
        <v>1.2035</v>
      </c>
      <c r="E15">
        <v>1.1388</v>
      </c>
      <c r="F15">
        <v>1.204</v>
      </c>
      <c r="I15" t="s">
        <v>5</v>
      </c>
      <c r="J15">
        <f t="shared" si="5"/>
        <v>0</v>
      </c>
      <c r="K15">
        <f t="shared" si="4"/>
        <v>70.705521472392633</v>
      </c>
      <c r="L15">
        <f t="shared" si="4"/>
        <v>130.73236196319021</v>
      </c>
      <c r="M15">
        <f t="shared" si="4"/>
        <v>118.32822085889575</v>
      </c>
      <c r="N15">
        <f t="shared" si="4"/>
        <v>130.82822085889575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7"/>
  <sheetViews>
    <sheetView showRuler="0" workbookViewId="0">
      <selection activeCell="O3" sqref="O3"/>
    </sheetView>
  </sheetViews>
  <sheetFormatPr defaultColWidth="11" defaultRowHeight="15.75" x14ac:dyDescent="0.25"/>
  <sheetData>
    <row r="1" spans="1:20" x14ac:dyDescent="0.25">
      <c r="C1" t="s">
        <v>15</v>
      </c>
    </row>
    <row r="2" spans="1:20" x14ac:dyDescent="0.25">
      <c r="B2" t="s">
        <v>16</v>
      </c>
      <c r="C2" t="s">
        <v>17</v>
      </c>
      <c r="D2" t="s">
        <v>18</v>
      </c>
      <c r="E2" t="s">
        <v>19</v>
      </c>
      <c r="F2" t="s">
        <v>20</v>
      </c>
      <c r="I2" t="s">
        <v>16</v>
      </c>
      <c r="J2" t="s">
        <v>17</v>
      </c>
      <c r="K2" t="s">
        <v>18</v>
      </c>
      <c r="L2" t="s">
        <v>19</v>
      </c>
      <c r="M2" t="s">
        <v>20</v>
      </c>
      <c r="P2" t="s">
        <v>16</v>
      </c>
      <c r="Q2" t="s">
        <v>17</v>
      </c>
      <c r="R2" t="s">
        <v>18</v>
      </c>
      <c r="S2" t="s">
        <v>19</v>
      </c>
      <c r="T2" t="s">
        <v>20</v>
      </c>
    </row>
    <row r="3" spans="1:20" x14ac:dyDescent="0.25">
      <c r="A3" t="s">
        <v>1</v>
      </c>
      <c r="B3">
        <v>2.0089999999999999</v>
      </c>
      <c r="C3">
        <v>2.0611000000000002</v>
      </c>
      <c r="D3">
        <v>1.9811000000000001</v>
      </c>
      <c r="E3">
        <v>2.0482999999999998</v>
      </c>
      <c r="F3">
        <v>2.0764</v>
      </c>
      <c r="H3" t="s">
        <v>1</v>
      </c>
      <c r="I3">
        <f>(B3/$B3*100)-100</f>
        <v>0</v>
      </c>
      <c r="J3">
        <f t="shared" ref="J3:M7" si="0">(C3/$B3*100)-100</f>
        <v>2.5933300149328034</v>
      </c>
      <c r="K3">
        <f t="shared" si="0"/>
        <v>-1.3887506222000923</v>
      </c>
      <c r="L3">
        <f t="shared" si="0"/>
        <v>1.9561971129915321</v>
      </c>
      <c r="M3">
        <f t="shared" si="0"/>
        <v>3.3549029367844838</v>
      </c>
      <c r="O3" t="s">
        <v>1</v>
      </c>
      <c r="P3">
        <f>(B13/B3*100)-100</f>
        <v>-0.37829766052762182</v>
      </c>
      <c r="Q3">
        <f t="shared" ref="Q3:T7" si="1">(C13/C3*100)-100</f>
        <v>-1.0285769734607868</v>
      </c>
      <c r="R3">
        <f t="shared" si="1"/>
        <v>10.655696330321547</v>
      </c>
      <c r="S3">
        <f t="shared" si="1"/>
        <v>5.8194600400331922</v>
      </c>
      <c r="T3">
        <f t="shared" si="1"/>
        <v>5.4228472356000736</v>
      </c>
    </row>
    <row r="4" spans="1:20" x14ac:dyDescent="0.25">
      <c r="A4" t="s">
        <v>2</v>
      </c>
      <c r="B4">
        <v>2.1103000000000001</v>
      </c>
      <c r="C4">
        <v>2.2288999999999999</v>
      </c>
      <c r="D4">
        <v>2.7622</v>
      </c>
      <c r="E4">
        <v>3.3347000000000002</v>
      </c>
      <c r="F4">
        <v>3.7519</v>
      </c>
      <c r="H4" t="s">
        <v>2</v>
      </c>
      <c r="I4">
        <f t="shared" ref="I4:I7" si="2">(B4/$B4*100)-100</f>
        <v>0</v>
      </c>
      <c r="J4">
        <f t="shared" si="0"/>
        <v>5.6200540207553331</v>
      </c>
      <c r="K4">
        <f t="shared" si="0"/>
        <v>30.891342463156889</v>
      </c>
      <c r="L4">
        <f t="shared" si="0"/>
        <v>58.020186703312334</v>
      </c>
      <c r="M4">
        <f t="shared" si="0"/>
        <v>77.789887693692833</v>
      </c>
      <c r="O4" t="s">
        <v>2</v>
      </c>
      <c r="P4">
        <f t="shared" ref="P4:P7" si="3">(B14/B4*100)-100</f>
        <v>0</v>
      </c>
      <c r="Q4">
        <f t="shared" si="1"/>
        <v>-4.4865180133513149E-3</v>
      </c>
      <c r="R4">
        <f t="shared" si="1"/>
        <v>0.11584968503366611</v>
      </c>
      <c r="S4">
        <f t="shared" si="1"/>
        <v>-2.971781569556498</v>
      </c>
      <c r="T4">
        <f t="shared" si="1"/>
        <v>5.0507742743676403</v>
      </c>
    </row>
    <row r="5" spans="1:20" x14ac:dyDescent="0.25">
      <c r="A5" t="s">
        <v>3</v>
      </c>
      <c r="B5">
        <v>1.05</v>
      </c>
      <c r="C5">
        <v>1.0654999999999999</v>
      </c>
      <c r="D5">
        <v>1.3064</v>
      </c>
      <c r="E5">
        <v>1.4112</v>
      </c>
      <c r="F5">
        <v>1.5415000000000001</v>
      </c>
      <c r="H5" t="s">
        <v>3</v>
      </c>
      <c r="I5">
        <f t="shared" si="2"/>
        <v>0</v>
      </c>
      <c r="J5">
        <f t="shared" si="0"/>
        <v>1.4761904761904532</v>
      </c>
      <c r="K5">
        <f t="shared" si="0"/>
        <v>24.419047619047603</v>
      </c>
      <c r="L5">
        <f t="shared" si="0"/>
        <v>34.399999999999977</v>
      </c>
      <c r="M5">
        <f t="shared" si="0"/>
        <v>46.809523809523824</v>
      </c>
      <c r="O5" t="s">
        <v>3</v>
      </c>
      <c r="P5">
        <f t="shared" si="3"/>
        <v>7.1238095238095269</v>
      </c>
      <c r="Q5">
        <f t="shared" si="1"/>
        <v>7.1984983575786146</v>
      </c>
      <c r="R5">
        <f t="shared" si="1"/>
        <v>10.463870177587282</v>
      </c>
      <c r="S5">
        <f t="shared" si="1"/>
        <v>7.6247165532879819</v>
      </c>
      <c r="T5">
        <f t="shared" si="1"/>
        <v>10.022705157314292</v>
      </c>
    </row>
    <row r="6" spans="1:20" x14ac:dyDescent="0.25">
      <c r="A6" t="s">
        <v>4</v>
      </c>
      <c r="B6">
        <v>1.1886000000000001</v>
      </c>
      <c r="C6">
        <v>1.1043000000000001</v>
      </c>
      <c r="D6">
        <v>1.1466000000000001</v>
      </c>
      <c r="E6">
        <v>0.98529999999999995</v>
      </c>
      <c r="F6">
        <v>1.0309999999999999</v>
      </c>
      <c r="H6" t="s">
        <v>4</v>
      </c>
      <c r="I6">
        <f t="shared" si="2"/>
        <v>0</v>
      </c>
      <c r="J6">
        <f t="shared" si="0"/>
        <v>-7.0923775870772374</v>
      </c>
      <c r="K6">
        <f t="shared" si="0"/>
        <v>-3.5335689045936363</v>
      </c>
      <c r="L6">
        <f t="shared" si="0"/>
        <v>-17.10415615009255</v>
      </c>
      <c r="M6">
        <f t="shared" si="0"/>
        <v>-13.259296651522817</v>
      </c>
      <c r="O6" t="s">
        <v>4</v>
      </c>
      <c r="P6">
        <f t="shared" si="3"/>
        <v>19.687026754164563</v>
      </c>
      <c r="Q6">
        <f t="shared" si="1"/>
        <v>35.651543964502395</v>
      </c>
      <c r="R6">
        <f t="shared" si="1"/>
        <v>37.545787545787533</v>
      </c>
      <c r="S6">
        <f t="shared" si="1"/>
        <v>64.234243377651495</v>
      </c>
      <c r="T6">
        <f t="shared" si="1"/>
        <v>71.813773035887522</v>
      </c>
    </row>
    <row r="7" spans="1:20" x14ac:dyDescent="0.25">
      <c r="A7" t="s">
        <v>5</v>
      </c>
      <c r="B7">
        <v>1.204</v>
      </c>
      <c r="C7">
        <v>1.2173</v>
      </c>
      <c r="D7">
        <v>1.5901000000000001</v>
      </c>
      <c r="E7">
        <v>1.5994999999999999</v>
      </c>
      <c r="F7">
        <v>1.8857999999999999</v>
      </c>
      <c r="H7" t="s">
        <v>5</v>
      </c>
      <c r="I7">
        <f t="shared" si="2"/>
        <v>0</v>
      </c>
      <c r="J7">
        <f t="shared" si="0"/>
        <v>1.1046511627907023</v>
      </c>
      <c r="K7">
        <f t="shared" si="0"/>
        <v>32.068106312292372</v>
      </c>
      <c r="L7">
        <f t="shared" si="0"/>
        <v>32.848837209302303</v>
      </c>
      <c r="M7">
        <f t="shared" si="0"/>
        <v>56.627906976744185</v>
      </c>
      <c r="O7" t="s">
        <v>5</v>
      </c>
      <c r="P7">
        <f t="shared" si="3"/>
        <v>-5.4485049833886876</v>
      </c>
      <c r="Q7">
        <f t="shared" si="1"/>
        <v>-5.5039842273884858</v>
      </c>
      <c r="R7">
        <f t="shared" si="1"/>
        <v>0</v>
      </c>
      <c r="S7">
        <f t="shared" si="1"/>
        <v>6.2519537355427701E-3</v>
      </c>
      <c r="T7">
        <f t="shared" si="1"/>
        <v>5.3027892671622112E-3</v>
      </c>
    </row>
    <row r="11" spans="1:20" x14ac:dyDescent="0.25">
      <c r="C11" t="s">
        <v>21</v>
      </c>
    </row>
    <row r="12" spans="1:20" x14ac:dyDescent="0.25">
      <c r="B12" t="s">
        <v>16</v>
      </c>
      <c r="C12" t="s">
        <v>17</v>
      </c>
      <c r="D12" t="s">
        <v>18</v>
      </c>
      <c r="E12" t="s">
        <v>19</v>
      </c>
      <c r="F12" t="s">
        <v>20</v>
      </c>
      <c r="I12" t="s">
        <v>16</v>
      </c>
      <c r="J12" t="s">
        <v>17</v>
      </c>
      <c r="K12" t="s">
        <v>18</v>
      </c>
      <c r="L12" t="s">
        <v>19</v>
      </c>
      <c r="M12" t="s">
        <v>20</v>
      </c>
    </row>
    <row r="13" spans="1:20" x14ac:dyDescent="0.25">
      <c r="A13" t="s">
        <v>1</v>
      </c>
      <c r="B13">
        <v>2.0013999999999998</v>
      </c>
      <c r="C13">
        <v>2.0398999999999998</v>
      </c>
      <c r="D13">
        <v>2.1922000000000001</v>
      </c>
      <c r="E13">
        <v>2.1675</v>
      </c>
      <c r="F13">
        <v>2.1890000000000001</v>
      </c>
      <c r="H13" t="s">
        <v>1</v>
      </c>
      <c r="I13">
        <f>(B13/$B13*100)-100</f>
        <v>0</v>
      </c>
      <c r="J13">
        <f t="shared" ref="J13:J17" si="4">(C13/$B13*100)-100</f>
        <v>1.9236534425901795</v>
      </c>
      <c r="K13">
        <f t="shared" ref="K13:K17" si="5">(D13/$B13*100)-100</f>
        <v>9.5333266713300873</v>
      </c>
      <c r="L13">
        <f t="shared" ref="L13:L17" si="6">(E13/$B13*100)-100</f>
        <v>8.2991905666033716</v>
      </c>
      <c r="M13">
        <f t="shared" ref="M13:M17" si="7">(F13/$B13*100)-100</f>
        <v>9.3734385929849111</v>
      </c>
    </row>
    <row r="14" spans="1:20" x14ac:dyDescent="0.25">
      <c r="A14" t="s">
        <v>2</v>
      </c>
      <c r="B14">
        <v>2.1103000000000001</v>
      </c>
      <c r="C14">
        <v>2.2288000000000001</v>
      </c>
      <c r="D14">
        <v>2.7654000000000001</v>
      </c>
      <c r="E14">
        <v>3.2355999999999998</v>
      </c>
      <c r="F14">
        <v>3.9413999999999998</v>
      </c>
      <c r="H14" t="s">
        <v>2</v>
      </c>
      <c r="I14">
        <f t="shared" ref="I14:I17" si="8">(B14/$B14*100)-100</f>
        <v>0</v>
      </c>
      <c r="J14">
        <f t="shared" si="4"/>
        <v>5.6153153580059723</v>
      </c>
      <c r="K14">
        <f t="shared" si="5"/>
        <v>31.042979671136806</v>
      </c>
      <c r="L14">
        <f t="shared" si="6"/>
        <v>53.324171918684527</v>
      </c>
      <c r="M14">
        <f t="shared" si="7"/>
        <v>86.769653603753028</v>
      </c>
    </row>
    <row r="15" spans="1:20" x14ac:dyDescent="0.25">
      <c r="A15" t="s">
        <v>3</v>
      </c>
      <c r="B15">
        <v>1.1248</v>
      </c>
      <c r="C15">
        <v>1.1422000000000001</v>
      </c>
      <c r="D15">
        <v>1.4431</v>
      </c>
      <c r="E15">
        <v>1.5187999999999999</v>
      </c>
      <c r="F15">
        <v>1.696</v>
      </c>
      <c r="H15" t="s">
        <v>3</v>
      </c>
      <c r="I15">
        <f t="shared" si="8"/>
        <v>0</v>
      </c>
      <c r="J15">
        <f t="shared" si="4"/>
        <v>1.5469416785206249</v>
      </c>
      <c r="K15">
        <f t="shared" si="5"/>
        <v>28.298364153627318</v>
      </c>
      <c r="L15">
        <f t="shared" si="6"/>
        <v>35.028449502133697</v>
      </c>
      <c r="M15">
        <f t="shared" si="7"/>
        <v>50.782361308677082</v>
      </c>
    </row>
    <row r="16" spans="1:20" x14ac:dyDescent="0.25">
      <c r="A16" t="s">
        <v>4</v>
      </c>
      <c r="B16">
        <v>1.4226000000000001</v>
      </c>
      <c r="C16">
        <v>1.498</v>
      </c>
      <c r="D16">
        <v>1.5770999999999999</v>
      </c>
      <c r="E16">
        <v>1.6182000000000001</v>
      </c>
      <c r="F16">
        <v>1.7714000000000001</v>
      </c>
      <c r="H16" t="s">
        <v>4</v>
      </c>
      <c r="I16">
        <f t="shared" si="8"/>
        <v>0</v>
      </c>
      <c r="J16">
        <f t="shared" si="4"/>
        <v>5.3001546464220439</v>
      </c>
      <c r="K16">
        <f t="shared" si="5"/>
        <v>10.860396457191058</v>
      </c>
      <c r="L16">
        <f t="shared" si="6"/>
        <v>13.749472796288487</v>
      </c>
      <c r="M16">
        <f t="shared" si="7"/>
        <v>24.518487276817098</v>
      </c>
    </row>
    <row r="17" spans="1:13" x14ac:dyDescent="0.25">
      <c r="A17" t="s">
        <v>5</v>
      </c>
      <c r="B17">
        <v>1.1384000000000001</v>
      </c>
      <c r="C17">
        <v>1.1503000000000001</v>
      </c>
      <c r="D17">
        <v>1.5901000000000001</v>
      </c>
      <c r="E17">
        <v>1.5995999999999999</v>
      </c>
      <c r="F17">
        <v>1.8858999999999999</v>
      </c>
      <c r="H17" t="s">
        <v>5</v>
      </c>
      <c r="I17">
        <f t="shared" si="8"/>
        <v>0</v>
      </c>
      <c r="J17">
        <f t="shared" si="4"/>
        <v>1.0453267744202464</v>
      </c>
      <c r="K17">
        <f t="shared" si="5"/>
        <v>39.678496134926206</v>
      </c>
      <c r="L17">
        <f t="shared" si="6"/>
        <v>40.513000702740669</v>
      </c>
      <c r="M17">
        <f t="shared" si="7"/>
        <v>65.662333099086425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CoBoL</cp:lastModifiedBy>
  <dcterms:created xsi:type="dcterms:W3CDTF">2016-06-24T17:37:02Z</dcterms:created>
  <dcterms:modified xsi:type="dcterms:W3CDTF">2016-07-02T20:47:02Z</dcterms:modified>
</cp:coreProperties>
</file>